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re\Downloads\"/>
    </mc:Choice>
  </mc:AlternateContent>
  <xr:revisionPtr revIDLastSave="0" documentId="13_ncr:1_{05A2123A-DD95-46C6-A472-D6AC262AE27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laims_Data" sheetId="1" r:id="rId1"/>
    <sheet name="Read_Me" sheetId="2" r:id="rId2"/>
    <sheet name="Validation_Checks" sheetId="3" r:id="rId3"/>
    <sheet name="Findings_Templ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L45" i="1"/>
  <c r="P45" i="1" s="1"/>
  <c r="L46" i="1"/>
  <c r="P46" i="1" s="1"/>
  <c r="L47" i="1"/>
  <c r="P47" i="1" s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P99" i="1" s="1"/>
  <c r="L100" i="1"/>
  <c r="P100" i="1" s="1"/>
  <c r="L101" i="1"/>
  <c r="P101" i="1" s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P122" i="1" s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L152" i="1"/>
  <c r="P152" i="1" s="1"/>
  <c r="L153" i="1"/>
  <c r="P153" i="1" s="1"/>
  <c r="L154" i="1"/>
  <c r="P154" i="1" s="1"/>
  <c r="L155" i="1"/>
  <c r="P155" i="1" s="1"/>
  <c r="L156" i="1"/>
  <c r="P156" i="1" s="1"/>
  <c r="L157" i="1"/>
  <c r="P157" i="1" s="1"/>
  <c r="L158" i="1"/>
  <c r="P158" i="1" s="1"/>
  <c r="L159" i="1"/>
  <c r="P159" i="1" s="1"/>
  <c r="L160" i="1"/>
  <c r="P160" i="1" s="1"/>
  <c r="L161" i="1"/>
  <c r="P161" i="1" s="1"/>
  <c r="L162" i="1"/>
  <c r="P162" i="1" s="1"/>
  <c r="L163" i="1"/>
  <c r="P163" i="1" s="1"/>
  <c r="L164" i="1"/>
  <c r="P164" i="1" s="1"/>
  <c r="L165" i="1"/>
  <c r="P165" i="1" s="1"/>
  <c r="L166" i="1"/>
  <c r="P166" i="1" s="1"/>
  <c r="L167" i="1"/>
  <c r="P167" i="1" s="1"/>
  <c r="L168" i="1"/>
  <c r="P168" i="1" s="1"/>
  <c r="L169" i="1"/>
  <c r="P169" i="1" s="1"/>
  <c r="L170" i="1"/>
  <c r="P170" i="1" s="1"/>
  <c r="L171" i="1"/>
  <c r="P171" i="1" s="1"/>
  <c r="L172" i="1"/>
  <c r="P172" i="1" s="1"/>
  <c r="L173" i="1"/>
  <c r="P173" i="1" s="1"/>
  <c r="L174" i="1"/>
  <c r="P174" i="1" s="1"/>
  <c r="L175" i="1"/>
  <c r="P175" i="1" s="1"/>
  <c r="L176" i="1"/>
  <c r="P176" i="1" s="1"/>
  <c r="L177" i="1"/>
  <c r="P177" i="1" s="1"/>
  <c r="L178" i="1"/>
  <c r="P178" i="1" s="1"/>
  <c r="L179" i="1"/>
  <c r="P179" i="1" s="1"/>
  <c r="L180" i="1"/>
  <c r="P180" i="1" s="1"/>
  <c r="L181" i="1"/>
  <c r="P181" i="1" s="1"/>
  <c r="L182" i="1"/>
  <c r="P182" i="1" s="1"/>
  <c r="L183" i="1"/>
  <c r="P183" i="1" s="1"/>
  <c r="L184" i="1"/>
  <c r="P184" i="1" s="1"/>
  <c r="L185" i="1"/>
  <c r="P185" i="1" s="1"/>
  <c r="L186" i="1"/>
  <c r="P186" i="1" s="1"/>
  <c r="L187" i="1"/>
  <c r="P187" i="1" s="1"/>
  <c r="L188" i="1"/>
  <c r="P188" i="1" s="1"/>
  <c r="L189" i="1"/>
  <c r="P189" i="1" s="1"/>
  <c r="L190" i="1"/>
  <c r="P190" i="1" s="1"/>
  <c r="L191" i="1"/>
  <c r="P191" i="1" s="1"/>
  <c r="L192" i="1"/>
  <c r="P192" i="1" s="1"/>
  <c r="L193" i="1"/>
  <c r="P193" i="1" s="1"/>
  <c r="L194" i="1"/>
  <c r="P194" i="1" s="1"/>
  <c r="L195" i="1"/>
  <c r="P195" i="1" s="1"/>
  <c r="L196" i="1"/>
  <c r="P196" i="1" s="1"/>
  <c r="L197" i="1"/>
  <c r="P197" i="1" s="1"/>
  <c r="L198" i="1"/>
  <c r="P198" i="1" s="1"/>
  <c r="L199" i="1"/>
  <c r="P199" i="1" s="1"/>
  <c r="L200" i="1"/>
  <c r="P200" i="1" s="1"/>
  <c r="L201" i="1"/>
  <c r="P201" i="1" s="1"/>
  <c r="L202" i="1"/>
  <c r="P202" i="1" s="1"/>
  <c r="L203" i="1"/>
  <c r="P203" i="1" s="1"/>
  <c r="L204" i="1"/>
  <c r="P204" i="1" s="1"/>
  <c r="L205" i="1"/>
  <c r="P205" i="1" s="1"/>
  <c r="L206" i="1"/>
  <c r="P206" i="1" s="1"/>
  <c r="L207" i="1"/>
  <c r="P207" i="1" s="1"/>
  <c r="L208" i="1"/>
  <c r="P208" i="1" s="1"/>
  <c r="L209" i="1"/>
  <c r="P209" i="1" s="1"/>
  <c r="L210" i="1"/>
  <c r="P210" i="1" s="1"/>
  <c r="L211" i="1"/>
  <c r="P211" i="1" s="1"/>
  <c r="L212" i="1"/>
  <c r="P212" i="1" s="1"/>
  <c r="L213" i="1"/>
  <c r="P213" i="1" s="1"/>
  <c r="L214" i="1"/>
  <c r="P214" i="1" s="1"/>
  <c r="L215" i="1"/>
  <c r="P215" i="1" s="1"/>
  <c r="L216" i="1"/>
  <c r="P216" i="1" s="1"/>
  <c r="L217" i="1"/>
  <c r="P217" i="1" s="1"/>
  <c r="L218" i="1"/>
  <c r="P218" i="1" s="1"/>
  <c r="L219" i="1"/>
  <c r="P219" i="1" s="1"/>
  <c r="L220" i="1"/>
  <c r="P220" i="1" s="1"/>
  <c r="L221" i="1"/>
  <c r="P221" i="1" s="1"/>
  <c r="L222" i="1"/>
  <c r="P222" i="1" s="1"/>
  <c r="L223" i="1"/>
  <c r="P223" i="1" s="1"/>
  <c r="L224" i="1"/>
  <c r="P224" i="1" s="1"/>
  <c r="L225" i="1"/>
  <c r="P225" i="1" s="1"/>
  <c r="L226" i="1"/>
  <c r="P226" i="1" s="1"/>
  <c r="L227" i="1"/>
  <c r="P227" i="1" s="1"/>
  <c r="L228" i="1"/>
  <c r="P228" i="1" s="1"/>
  <c r="L229" i="1"/>
  <c r="P229" i="1" s="1"/>
  <c r="L230" i="1"/>
  <c r="P230" i="1" s="1"/>
  <c r="L231" i="1"/>
  <c r="P231" i="1" s="1"/>
  <c r="L232" i="1"/>
  <c r="P232" i="1" s="1"/>
  <c r="L233" i="1"/>
  <c r="P233" i="1" s="1"/>
  <c r="L234" i="1"/>
  <c r="P234" i="1" s="1"/>
  <c r="L235" i="1"/>
  <c r="P235" i="1" s="1"/>
  <c r="L236" i="1"/>
  <c r="P236" i="1" s="1"/>
  <c r="L237" i="1"/>
  <c r="P237" i="1" s="1"/>
  <c r="L238" i="1"/>
  <c r="P238" i="1" s="1"/>
  <c r="L239" i="1"/>
  <c r="P239" i="1" s="1"/>
  <c r="L240" i="1"/>
  <c r="P240" i="1" s="1"/>
  <c r="L241" i="1"/>
  <c r="P241" i="1" s="1"/>
  <c r="L242" i="1"/>
  <c r="P242" i="1" s="1"/>
  <c r="L243" i="1"/>
  <c r="P243" i="1" s="1"/>
  <c r="L244" i="1"/>
  <c r="P244" i="1" s="1"/>
  <c r="L245" i="1"/>
  <c r="P245" i="1" s="1"/>
  <c r="L246" i="1"/>
  <c r="P246" i="1" s="1"/>
  <c r="L247" i="1"/>
  <c r="P247" i="1" s="1"/>
  <c r="L248" i="1"/>
  <c r="P248" i="1" s="1"/>
  <c r="L249" i="1"/>
  <c r="P249" i="1" s="1"/>
  <c r="L250" i="1"/>
  <c r="P250" i="1" s="1"/>
  <c r="L251" i="1"/>
  <c r="P251" i="1" s="1"/>
  <c r="L252" i="1"/>
  <c r="P252" i="1" s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P456" i="1" s="1"/>
  <c r="L457" i="1"/>
  <c r="P457" i="1" s="1"/>
  <c r="L458" i="1"/>
  <c r="P458" i="1" s="1"/>
  <c r="L459" i="1"/>
  <c r="P459" i="1" s="1"/>
  <c r="L460" i="1"/>
  <c r="P460" i="1" s="1"/>
  <c r="L461" i="1"/>
  <c r="P461" i="1" s="1"/>
  <c r="L462" i="1"/>
  <c r="P462" i="1" s="1"/>
  <c r="L463" i="1"/>
  <c r="P463" i="1" s="1"/>
  <c r="L464" i="1"/>
  <c r="P464" i="1" s="1"/>
  <c r="L465" i="1"/>
  <c r="P465" i="1" s="1"/>
  <c r="L466" i="1"/>
  <c r="P466" i="1" s="1"/>
  <c r="L467" i="1"/>
  <c r="P467" i="1" s="1"/>
  <c r="L468" i="1"/>
  <c r="P468" i="1" s="1"/>
  <c r="L469" i="1"/>
  <c r="P469" i="1" s="1"/>
  <c r="L470" i="1"/>
  <c r="P470" i="1" s="1"/>
  <c r="L471" i="1"/>
  <c r="P471" i="1" s="1"/>
  <c r="L472" i="1"/>
  <c r="P472" i="1" s="1"/>
  <c r="L473" i="1"/>
  <c r="P473" i="1" s="1"/>
  <c r="L474" i="1"/>
  <c r="P474" i="1" s="1"/>
  <c r="L475" i="1"/>
  <c r="P475" i="1" s="1"/>
  <c r="L476" i="1"/>
  <c r="P476" i="1" s="1"/>
  <c r="L477" i="1"/>
  <c r="P477" i="1" s="1"/>
  <c r="L478" i="1"/>
  <c r="P478" i="1" s="1"/>
  <c r="L479" i="1"/>
  <c r="P479" i="1" s="1"/>
  <c r="L480" i="1"/>
  <c r="P480" i="1" s="1"/>
  <c r="L481" i="1"/>
  <c r="P481" i="1" s="1"/>
  <c r="L482" i="1"/>
  <c r="P482" i="1" s="1"/>
  <c r="L483" i="1"/>
  <c r="P483" i="1" s="1"/>
  <c r="L484" i="1"/>
  <c r="P484" i="1" s="1"/>
  <c r="L485" i="1"/>
  <c r="P485" i="1" s="1"/>
  <c r="L486" i="1"/>
  <c r="P486" i="1" s="1"/>
  <c r="L487" i="1"/>
  <c r="P487" i="1" s="1"/>
  <c r="L488" i="1"/>
  <c r="P488" i="1" s="1"/>
  <c r="L489" i="1"/>
  <c r="P489" i="1" s="1"/>
  <c r="L490" i="1"/>
  <c r="P490" i="1" s="1"/>
  <c r="L491" i="1"/>
  <c r="P491" i="1" s="1"/>
  <c r="L492" i="1"/>
  <c r="P492" i="1" s="1"/>
  <c r="L493" i="1"/>
  <c r="P493" i="1" s="1"/>
  <c r="L494" i="1"/>
  <c r="P494" i="1" s="1"/>
  <c r="L495" i="1"/>
  <c r="P495" i="1" s="1"/>
  <c r="L496" i="1"/>
  <c r="P496" i="1" s="1"/>
  <c r="L497" i="1"/>
  <c r="P497" i="1" s="1"/>
  <c r="L498" i="1"/>
  <c r="P498" i="1" s="1"/>
  <c r="L499" i="1"/>
  <c r="P499" i="1" s="1"/>
  <c r="L500" i="1"/>
  <c r="P500" i="1" s="1"/>
  <c r="L501" i="1"/>
  <c r="P501" i="1" s="1"/>
  <c r="L2" i="1"/>
  <c r="O2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B8" i="3"/>
  <c r="B3" i="3"/>
  <c r="B2" i="3"/>
</calcChain>
</file>

<file path=xl/sharedStrings.xml><?xml version="1.0" encoding="utf-8"?>
<sst xmlns="http://schemas.openxmlformats.org/spreadsheetml/2006/main" count="2164" uniqueCount="606">
  <si>
    <t>Claim_ID</t>
  </si>
  <si>
    <t>Received_Date</t>
  </si>
  <si>
    <t>Eligibility_Hours</t>
  </si>
  <si>
    <t>Documentation_Hours</t>
  </si>
  <si>
    <t>Adjudication_Hours</t>
  </si>
  <si>
    <t>Rework_Count</t>
  </si>
  <si>
    <t>Claim_Amount</t>
  </si>
  <si>
    <t>Claim_Type</t>
  </si>
  <si>
    <t>Team</t>
  </si>
  <si>
    <t>Final_Status</t>
  </si>
  <si>
    <t>Denial_Reason</t>
  </si>
  <si>
    <t>Total_TAT_Hours</t>
  </si>
  <si>
    <t>CLM01001</t>
  </si>
  <si>
    <t>Inpatient</t>
  </si>
  <si>
    <t>Team C</t>
  </si>
  <si>
    <t>Pending</t>
  </si>
  <si>
    <t>CLM01002</t>
  </si>
  <si>
    <t>Team B</t>
  </si>
  <si>
    <t>Approved</t>
  </si>
  <si>
    <t>CLM01003</t>
  </si>
  <si>
    <t>Team D</t>
  </si>
  <si>
    <t>Denied</t>
  </si>
  <si>
    <t>Missing documentation</t>
  </si>
  <si>
    <t>CLM01004</t>
  </si>
  <si>
    <t>Outpatient</t>
  </si>
  <si>
    <t>CLM01005</t>
  </si>
  <si>
    <t>Team A</t>
  </si>
  <si>
    <t>CLM01006</t>
  </si>
  <si>
    <t>CLM01007</t>
  </si>
  <si>
    <t>Coding error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</si>
  <si>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</si>
  <si>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</si>
  <si>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</si>
  <si>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</si>
  <si>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</si>
  <si>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</si>
  <si>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</si>
  <si>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</si>
  <si>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</si>
  <si>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CLM01017</t>
  </si>
  <si>
    <t>CLM01018</t>
  </si>
  <si>
    <t>CLM01019</t>
  </si>
  <si>
    <t>CLM01020</t>
  </si>
  <si>
    <t>CLM01021</t>
  </si>
  <si>
    <t>CLM01022</t>
  </si>
  <si>
    <t>CLM01023</t>
  </si>
  <si>
    <t>CLM01024</t>
  </si>
  <si>
    <t>CLM01025</t>
  </si>
  <si>
    <t>CLM01026</t>
  </si>
  <si>
    <t>CLM01027</t>
  </si>
  <si>
    <t>CLM01028</t>
  </si>
  <si>
    <t>CLM01029</t>
  </si>
  <si>
    <t>CLM01030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</si>
  <si>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</si>
  <si>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</si>
  <si>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</si>
  <si>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</si>
  <si>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</si>
  <si>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</si>
  <si>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</si>
  <si>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</si>
  <si>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CLM01039</t>
  </si>
  <si>
    <t>CLM01040</t>
  </si>
  <si>
    <t>CLM01041</t>
  </si>
  <si>
    <t>CLM01042</t>
  </si>
  <si>
    <t>CLM01043</t>
  </si>
  <si>
    <t>CLM01044</t>
  </si>
  <si>
    <t>CLM01045</t>
  </si>
  <si>
    <t>CLM01046</t>
  </si>
  <si>
    <t>CLM01047</t>
  </si>
  <si>
    <t>CLM01048</t>
  </si>
  <si>
    <t>CLM01049</t>
  </si>
  <si>
    <t>CLM01050</t>
  </si>
  <si>
    <t>CLM01051</t>
  </si>
  <si>
    <t>CLM01052</t>
  </si>
  <si>
    <t>CLM01053</t>
  </si>
  <si>
    <t>CLM01054</t>
  </si>
  <si>
    <t>CLM01055</t>
  </si>
  <si>
    <t>CLM01056</t>
  </si>
  <si>
    <t>CLM01057</t>
  </si>
  <si>
    <t>CLM01058</t>
  </si>
  <si>
    <t>CLM01059</t>
  </si>
  <si>
    <t>CLM01060</t>
  </si>
  <si>
    <t>CLM01061</t>
  </si>
  <si>
    <t>CLM01062</t>
  </si>
  <si>
    <t>CLM01063</t>
  </si>
  <si>
    <t>CLM01064</t>
  </si>
  <si>
    <t>CLM01065</t>
  </si>
  <si>
    <t>CLM01066</t>
  </si>
  <si>
    <t>CLM01067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</si>
  <si>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</si>
  <si>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</si>
  <si>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</si>
  <si>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</si>
  <si>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</si>
  <si>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</si>
  <si>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</si>
  <si>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</si>
  <si>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CLM01076</t>
  </si>
  <si>
    <t>CLM01077</t>
  </si>
  <si>
    <t>CLM01078</t>
  </si>
  <si>
    <t>CLM01079</t>
  </si>
  <si>
    <t>CLM01080</t>
  </si>
  <si>
    <t>CLM01081</t>
  </si>
  <si>
    <t>CLM01082</t>
  </si>
  <si>
    <t>CLM01083</t>
  </si>
  <si>
    <t>CLM01084</t>
  </si>
  <si>
    <t>CLM01085</t>
  </si>
  <si>
    <t>CLM01086</t>
  </si>
  <si>
    <t>CLM01087</t>
  </si>
  <si>
    <t>CLM01088</t>
  </si>
  <si>
    <t>CLM01089</t>
  </si>
  <si>
    <t>CLM01090</t>
  </si>
  <si>
    <t>CLM01091</t>
  </si>
  <si>
    <t>CLM01092</t>
  </si>
  <si>
    <t>CLM01093</t>
  </si>
  <si>
    <t>CLM01094</t>
  </si>
  <si>
    <t>CLM01095</t>
  </si>
  <si>
    <t>CLM01096</t>
  </si>
  <si>
    <t>CLM01097</t>
  </si>
  <si>
    <t>CLM01098</t>
  </si>
  <si>
    <t>CLM01099</t>
  </si>
  <si>
    <t>CLM01100</t>
  </si>
  <si>
    <t>CLM01101</t>
  </si>
  <si>
    <t>CLM01102</t>
  </si>
  <si>
    <t>CLM01103</t>
  </si>
  <si>
    <t>CLM01104</t>
  </si>
  <si>
    <t>CLM01105</t>
  </si>
  <si>
    <t>CLM01106</t>
  </si>
  <si>
    <t>CLM01107</t>
  </si>
  <si>
    <t>CLM01108</t>
  </si>
  <si>
    <t>Eligibility issue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</si>
  <si>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</si>
  <si>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</si>
  <si>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</si>
  <si>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</si>
  <si>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</si>
  <si>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</si>
  <si>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</si>
  <si>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</si>
  <si>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</si>
  <si>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</si>
  <si>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</si>
  <si>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</si>
  <si>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CLM01121</t>
  </si>
  <si>
    <t>CLM01122</t>
  </si>
  <si>
    <t>CLM01123</t>
  </si>
  <si>
    <t>CLM01124</t>
  </si>
  <si>
    <t>CLM01125</t>
  </si>
  <si>
    <t>CLM01126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</si>
  <si>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</si>
  <si>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</si>
  <si>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</si>
  <si>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</si>
  <si>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</si>
  <si>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</si>
  <si>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</si>
  <si>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</si>
  <si>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</si>
  <si>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</si>
  <si>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</si>
  <si>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</si>
  <si>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</si>
  <si>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Policy mismatch</t>
  </si>
  <si>
    <t>CLM01140</t>
  </si>
  <si>
    <t>CLM01141</t>
  </si>
  <si>
    <t>CLM01142</t>
  </si>
  <si>
    <t>CLM01143</t>
  </si>
  <si>
    <t>CLM01144</t>
  </si>
  <si>
    <t>CLM01145</t>
  </si>
  <si>
    <t>CLM01146</t>
  </si>
  <si>
    <t>CLM01147</t>
  </si>
  <si>
    <t>CLM01148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</si>
  <si>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</si>
  <si>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</si>
  <si>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</si>
  <si>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</si>
  <si>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</si>
  <si>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</si>
  <si>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</si>
  <si>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</si>
  <si>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</si>
  <si>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</si>
  <si>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</si>
  <si>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</si>
  <si>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</si>
  <si>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</si>
  <si>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</si>
  <si>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</si>
  <si>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</si>
  <si>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</si>
  <si>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</si>
  <si>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CLM01168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</si>
  <si>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</si>
  <si>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</si>
  <si>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</si>
  <si>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</si>
  <si>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</si>
  <si>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</si>
  <si>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</si>
  <si>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</si>
  <si>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</si>
  <si>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</si>
  <si>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</si>
  <si>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</si>
  <si>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</si>
  <si>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CLM01182</t>
  </si>
  <si>
    <t>CLM01183</t>
  </si>
  <si>
    <t>CLM01184</t>
  </si>
  <si>
    <t>CLM01185</t>
  </si>
  <si>
    <t>CLM01186</t>
  </si>
  <si>
    <t>CLM01187</t>
  </si>
  <si>
    <t>CLM01188</t>
  </si>
  <si>
    <t>CLM01189</t>
  </si>
  <si>
    <t>CLM01190</t>
  </si>
  <si>
    <t>CLM01191</t>
  </si>
  <si>
    <t>CLM01192</t>
  </si>
  <si>
    <t>CLM01193</t>
  </si>
  <si>
    <t>CLM01194</t>
  </si>
  <si>
    <t>CLM01195</t>
  </si>
  <si>
    <t>CLM01196</t>
  </si>
  <si>
    <t>CLM01197</t>
  </si>
  <si>
    <t>CLM01198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</si>
  <si>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</si>
  <si>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</si>
  <si>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</si>
  <si>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</si>
  <si>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</si>
  <si>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</si>
  <si>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</si>
  <si>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</si>
  <si>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</si>
  <si>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</si>
  <si>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</si>
  <si>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</si>
  <si>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</si>
  <si>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</si>
  <si>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</si>
  <si>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</si>
  <si>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</si>
  <si>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</si>
  <si>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</si>
  <si>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</si>
  <si>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</si>
  <si>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CLM01220</t>
  </si>
  <si>
    <t>CLM01221</t>
  </si>
  <si>
    <t>CLM01222</t>
  </si>
  <si>
    <t>CLM01223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</si>
  <si>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</si>
  <si>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</si>
  <si>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</si>
  <si>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</si>
  <si>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</si>
  <si>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</si>
  <si>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</si>
  <si>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</si>
  <si>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</si>
  <si>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</si>
  <si>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</si>
  <si>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</si>
  <si>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CLM01236</t>
  </si>
  <si>
    <t>CLM01237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</si>
  <si>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</si>
  <si>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</si>
  <si>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</si>
  <si>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</si>
  <si>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</si>
  <si>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</si>
  <si>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</si>
  <si>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</si>
  <si>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</si>
  <si>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</si>
  <si>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</si>
  <si>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</si>
  <si>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CLM01250</t>
  </si>
  <si>
    <t>CLM01251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</si>
  <si>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</si>
  <si>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</si>
  <si>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</si>
  <si>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</si>
  <si>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</si>
  <si>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</si>
  <si>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</si>
  <si>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</si>
  <si>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</si>
  <si>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</si>
  <si>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</si>
  <si>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</si>
  <si>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</si>
  <si>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</si>
  <si>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</si>
  <si>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</si>
  <si>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</si>
  <si>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</si>
  <si>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</si>
  <si>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</si>
  <si>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CLM01272</t>
  </si>
  <si>
    <t>CLM01273</t>
  </si>
  <si>
    <t>CLM01274</t>
  </si>
  <si>
    <t>CLM01275</t>
  </si>
  <si>
    <t>CLM01276</t>
  </si>
  <si>
    <t>CLM01277</t>
  </si>
  <si>
    <t>CLM01278</t>
  </si>
  <si>
    <t>CLM01279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</si>
  <si>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</si>
  <si>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</si>
  <si>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</si>
  <si>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</si>
  <si>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</si>
  <si>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</si>
  <si>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</si>
  <si>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</si>
  <si>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</si>
  <si>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</si>
  <si>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</si>
  <si>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</si>
  <si>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</si>
  <si>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</si>
  <si>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</si>
  <si>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</si>
  <si>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</si>
  <si>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</si>
  <si>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</si>
  <si>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</si>
  <si>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</si>
  <si>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</si>
  <si>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</si>
  <si>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</si>
  <si>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</si>
  <si>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</si>
  <si>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</si>
  <si>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</si>
  <si>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</si>
  <si>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</si>
  <si>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</si>
  <si>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</si>
  <si>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</si>
  <si>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</si>
  <si>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</si>
  <si>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</si>
  <si>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</si>
  <si>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</si>
  <si>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</si>
  <si>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</si>
  <si>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</si>
  <si>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CLM01321</t>
  </si>
  <si>
    <t>CLM01322</t>
  </si>
  <si>
    <t>CLM01323</t>
  </si>
  <si>
    <t>CLM01324</t>
  </si>
  <si>
    <t>CLM01325</t>
  </si>
  <si>
    <t>CLM01326</t>
  </si>
  <si>
    <t>CLM01327</t>
  </si>
  <si>
    <t>CLM01328</t>
  </si>
  <si>
    <t>CLM01329</t>
  </si>
  <si>
    <t>CLM01330</t>
  </si>
  <si>
    <t>CLM01331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</si>
  <si>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</si>
  <si>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</si>
  <si>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</si>
  <si>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</si>
  <si>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</si>
  <si>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</si>
  <si>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</si>
  <si>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</si>
  <si>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</si>
  <si>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</si>
  <si>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</si>
  <si>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</si>
  <si>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</si>
  <si>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</si>
  <si>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</si>
  <si>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</si>
  <si>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</si>
  <si>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</si>
  <si>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</si>
  <si>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</si>
  <si>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</si>
  <si>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CLM01353</t>
  </si>
  <si>
    <t>CLM01354</t>
  </si>
  <si>
    <t>CLM01355</t>
  </si>
  <si>
    <t>CLM01356</t>
  </si>
  <si>
    <t>CLM01357</t>
  </si>
  <si>
    <t>CLM01358</t>
  </si>
  <si>
    <t>CLM01359</t>
  </si>
  <si>
    <t>CLM01360</t>
  </si>
  <si>
    <t>CLM01361</t>
  </si>
  <si>
    <t>CLM01362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</si>
  <si>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</si>
  <si>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</si>
  <si>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</si>
  <si>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</si>
  <si>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</si>
  <si>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</si>
  <si>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</si>
  <si>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</si>
  <si>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</si>
  <si>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</si>
  <si>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</si>
  <si>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</si>
  <si>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</si>
  <si>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</si>
  <si>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</si>
  <si>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</si>
  <si>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</si>
  <si>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CLM01380</t>
  </si>
  <si>
    <t>CLM01381</t>
  </si>
  <si>
    <t>CLM01382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</si>
  <si>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</si>
  <si>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</si>
  <si>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</si>
  <si>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</si>
  <si>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</si>
  <si>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</si>
  <si>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</si>
  <si>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</si>
  <si>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</si>
  <si>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</si>
  <si>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</si>
  <si>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</si>
  <si>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</si>
  <si>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</si>
  <si>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</si>
  <si>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</si>
  <si>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</si>
  <si>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</si>
  <si>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</si>
  <si>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</si>
  <si>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</si>
  <si>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</si>
  <si>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</si>
  <si>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</si>
  <si>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</si>
  <si>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</si>
  <si>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</si>
  <si>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</si>
  <si>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</si>
  <si>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</si>
  <si>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</si>
  <si>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</si>
  <si>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</si>
  <si>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</si>
  <si>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</si>
  <si>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</si>
  <si>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</si>
  <si>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</si>
  <si>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</si>
  <si>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</si>
  <si>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</si>
  <si>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</si>
  <si>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</si>
  <si>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</si>
  <si>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</si>
  <si>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</si>
  <si>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</si>
  <si>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</si>
  <si>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</si>
  <si>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</si>
  <si>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</si>
  <si>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</si>
  <si>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</si>
  <si>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</si>
  <si>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</si>
  <si>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</si>
  <si>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</si>
  <si>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</si>
  <si>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</si>
  <si>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</si>
  <si>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</si>
  <si>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</si>
  <si>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</si>
  <si>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</si>
  <si>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</si>
  <si>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</si>
  <si>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CLM01449</t>
  </si>
  <si>
    <t>CLM01450</t>
  </si>
  <si>
    <t>CLM01451</t>
  </si>
  <si>
    <t>CLM01452</t>
  </si>
  <si>
    <t>CLM01453</t>
  </si>
  <si>
    <t>CLM01454</t>
  </si>
  <si>
    <t>CLM01455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</si>
  <si>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</si>
  <si>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</si>
  <si>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</si>
  <si>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</si>
  <si>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</si>
  <si>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</si>
  <si>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</si>
  <si>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</si>
  <si>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</si>
  <si>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CLM01465</t>
  </si>
  <si>
    <t>CLM01466</t>
  </si>
  <si>
    <t>CLM01467</t>
  </si>
  <si>
    <t>CLM01468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</si>
  <si>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</si>
  <si>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</si>
  <si>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</si>
  <si>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</si>
  <si>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</si>
  <si>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</si>
  <si>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</si>
  <si>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</si>
  <si>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CLM01477</t>
  </si>
  <si>
    <t>CLM01478</t>
  </si>
  <si>
    <t>CLM01479</t>
  </si>
  <si>
    <t>CLM01480</t>
  </si>
  <si>
    <t>CLM01481</t>
  </si>
  <si>
    <t>CLM01482</t>
  </si>
  <si>
    <t>CLM01483</t>
  </si>
  <si>
    <t>CLM01484</t>
  </si>
  <si>
    <t>CLM01485</t>
  </si>
  <si>
    <t>CLM01486</t>
  </si>
  <si>
    <t>CLM01487</t>
  </si>
  <si>
    <t>CLM01488</t>
  </si>
  <si>
    <t>CLM01489</t>
  </si>
  <si>
    <t>CLM01490</t>
  </si>
  <si>
    <t>CLM01491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</si>
  <si>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</si>
  <si>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</si>
  <si>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</si>
  <si>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</si>
  <si>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</si>
  <si>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</si>
  <si>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</si>
  <si>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</si>
  <si>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</si>
  <si>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CareFlow Insight — Healthcare Operations Analytics</t>
  </si>
  <si>
    <t>Purpose</t>
  </si>
  <si>
    <t>Analyze a simulated healthcare claims workflow for turnaround time, rework, denials, and bottlenecks.</t>
  </si>
  <si>
    <t>Important</t>
  </si>
  <si>
    <t>All records are synthetic for portfolio practice only. This is not real Optum or patient data.</t>
  </si>
  <si>
    <t>Dataset size</t>
  </si>
  <si>
    <t>500 simulated claims</t>
  </si>
  <si>
    <t>Workflow assumption</t>
  </si>
  <si>
    <t>Total_TAT_Hours = Eligibility_Hours + Documentation_Hours + Adjudication_Hours.</t>
  </si>
  <si>
    <t>Pending claims</t>
  </si>
  <si>
    <t>Pending claims have not reached a final decision; interpret comparisons with completed claims carefully.</t>
  </si>
  <si>
    <t>Unique synthetic claim identifier.</t>
  </si>
  <si>
    <t>Date claim entered the simulated workflow.</t>
  </si>
  <si>
    <t>Hours spent on eligibility verification.</t>
  </si>
  <si>
    <t>Hours spent on documentation review.</t>
  </si>
  <si>
    <t>Hours spent on adjudication/decision.</t>
  </si>
  <si>
    <t>Number of rework events in the simulation.</t>
  </si>
  <si>
    <t>Synthetic amount in INR; not a reimbursement prediction.</t>
  </si>
  <si>
    <t>Inpatient or outpatient.</t>
  </si>
  <si>
    <t>Synthetic processing team label.</t>
  </si>
  <si>
    <t>Approved, Denied, or Pending.</t>
  </si>
  <si>
    <t>Assigned reason for denied claims; blank for other statuses.</t>
  </si>
  <si>
    <t>Sum of the three stage durations.</t>
  </si>
  <si>
    <t>Validation checks</t>
  </si>
  <si>
    <t>Unique/nonblank IDs, nonnegative stage hours, integer rework, positive amount, correct TAT sum, denial reason for denials.</t>
  </si>
  <si>
    <t>Analysis caution</t>
  </si>
  <si>
    <t>Synthetic patterns are for practice. Findings are hypotheses to validate, not proof of real-world causation.</t>
  </si>
  <si>
    <t>Check</t>
  </si>
  <si>
    <t>How to validate</t>
  </si>
  <si>
    <t>Expected result</t>
  </si>
  <si>
    <t>Unique Claim_ID</t>
  </si>
  <si>
    <t>0 duplicate IDs</t>
  </si>
  <si>
    <t>Missing Claim_ID</t>
  </si>
  <si>
    <t>0 blanks</t>
  </si>
  <si>
    <t>Negative stage hours</t>
  </si>
  <si>
    <t>Check columns C:E for values &lt; 0</t>
  </si>
  <si>
    <t>0 invalid values</t>
  </si>
  <si>
    <t>TAT formula consistency</t>
  </si>
  <si>
    <t>Compare L2:L501 against C+D+E</t>
  </si>
  <si>
    <t>0 mismatches</t>
  </si>
  <si>
    <t>Invalid rework count</t>
  </si>
  <si>
    <t>Check F2:F501 for negative/non-integer values</t>
  </si>
  <si>
    <t>Invalid claim amount</t>
  </si>
  <si>
    <t>Check G2:G501 for values &lt;= 0</t>
  </si>
  <si>
    <t>Denied claim missing reason</t>
  </si>
  <si>
    <t>0 missing reasons</t>
  </si>
  <si>
    <t>Question</t>
  </si>
  <si>
    <t>Evidence from Excel/SQL/Power BI</t>
  </si>
  <si>
    <t>Interpretation / limitation</t>
  </si>
  <si>
    <t>Recommended action</t>
  </si>
  <si>
    <t>Success metric</t>
  </si>
  <si>
    <t>Which workflow stage takes the longest?</t>
  </si>
  <si>
    <t>Which team or claim type has the longest TAT?</t>
  </si>
  <si>
    <t>Is rework associated with longer TAT?</t>
  </si>
  <si>
    <t>Which denial reasons are most frequent?</t>
  </si>
  <si>
    <t>What process change should be tested first?</t>
  </si>
  <si>
    <t>Calculated_TAT</t>
  </si>
  <si>
    <t>Duplicate_Check</t>
  </si>
  <si>
    <t>Missing_Check</t>
  </si>
  <si>
    <t>Required_Field_Check</t>
  </si>
  <si>
    <t>TAT_Check</t>
  </si>
  <si>
    <t>Team B documentation review averages 9.05 hours.</t>
  </si>
  <si>
    <t>Team B has the longest documentation time; further investigation is needed to confirm why.</t>
  </si>
  <si>
    <t>Review documentation workflows and identify repeated checks or delays.</t>
  </si>
  <si>
    <t>Reduce average documentation review time.</t>
  </si>
  <si>
    <t>Team B: 15.37 hours; inpatient claims: 13.66 hours.</t>
  </si>
  <si>
    <t>These groups have the highest average TAT in the simulated dataset.</t>
  </si>
  <si>
    <t>Map Team B's workflow and review inpatient processing steps.</t>
  </si>
  <si>
    <t>Reduce average TAT from the baseline.</t>
  </si>
  <si>
    <t>Average TAT rises from 11.59 hours with zero rework to 13.60 hours with two reworks.</t>
  </si>
  <si>
    <t>The pattern suggests an association, not proof that rework causes delays; groups with more rework are small.</t>
  </si>
  <si>
    <t>Investigate recurring rework triggers and documentation errors.</t>
  </si>
  <si>
    <t>Reduce claims requiring rework.</t>
  </si>
  <si>
    <t>Missing documentation: 33; policy mismatch: 11; coding error: 10; eligibility issue: 3.</t>
  </si>
  <si>
    <t>Missing documentation is the most frequent recorded denial reason.</t>
  </si>
  <si>
    <t>Introduce a pre-submission documentation checklist.</t>
  </si>
  <si>
    <t>Reduce documentation-related denials.</t>
  </si>
  <si>
    <t>Team B has the longest TAT and documentation time; missing documentation is the leading denial reason.</t>
  </si>
  <si>
    <t>These are promising improvement opportunities in simulated data; validate with real operational data before implementation.</t>
  </si>
  <si>
    <t>Pilot a documentation checklist and review Team B's process.</t>
  </si>
  <si>
    <t>Track TAT, rework rate, and documentation-related denials before and after the pilot.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</si>
</sst>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0" borderId="0" xfId="0"/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5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imsData" displayName="ClaimsData" ref="A1:Q501">
  <autoFilter ref="A1:Q501" xr:uid="{00000000-0009-0000-0100-000001000000}"/>
  <tableColumns count="17">
    <tableColumn id="1" xr3:uid="{00000000-0010-0000-0000-000001000000}" name="Claim_ID"/>
    <tableColumn id="2" xr3:uid="{00000000-0010-0000-0000-000002000000}" name="Received_Date"/>
    <tableColumn id="3" xr3:uid="{00000000-0010-0000-0000-000003000000}" name="Eligibility_Hours"/>
    <tableColumn id="4" xr3:uid="{00000000-0010-0000-0000-000004000000}" name="Documentation_Hours"/>
    <tableColumn id="5" xr3:uid="{00000000-0010-0000-0000-000005000000}" name="Adjudication_Hours"/>
    <tableColumn id="6" xr3:uid="{00000000-0010-0000-0000-000006000000}" name="Rework_Count"/>
    <tableColumn id="7" xr3:uid="{00000000-0010-0000-0000-000007000000}" name="Claim_Amount"/>
    <tableColumn id="8" xr3:uid="{00000000-0010-0000-0000-000008000000}" name="Claim_Type"/>
    <tableColumn id="9" xr3:uid="{00000000-0010-0000-0000-000009000000}" name="Team"/>
    <tableColumn id="10" xr3:uid="{00000000-0010-0000-0000-00000A000000}" name="Final_Status"/>
    <tableColumn id="11" xr3:uid="{00000000-0010-0000-0000-00000B000000}" name="Denial_Reason"/>
    <tableColumn id="12" xr3:uid="{00000000-0010-0000-0000-00000C000000}" name="Total_TAT_Hours">
      <calculatedColumnFormula>SUM(C2:E2)</calculatedColumnFormula>
    </tableColumn>
    <tableColumn id="13" xr3:uid="{F0E4E42C-2447-40B3-8603-158473C62F1B}" name="Calculated_TAT" dataDxfId="4">
      <calculatedColumnFormula>SUM(C2:E2)</calculatedColumnFormula>
    </tableColumn>
    <tableColumn id="14" xr3:uid="{07575497-39B0-44A7-B608-FA8F4CA6BF25}" name="Duplicate_Check" dataDxfId="3">
      <calculatedColumnFormula>COUNTIF(A:A,A2)&gt;1</calculatedColumnFormula>
    </tableColumn>
    <tableColumn id="15" xr3:uid="{69469182-0FD8-46BA-9A11-72508B64872B}" name="Missing_Check" dataDxfId="2">
      <calculatedColumnFormula>COUNTBLANK(A2:L2)</calculatedColumnFormula>
    </tableColumn>
    <tableColumn id="16" xr3:uid="{35E3D28D-C667-4444-B75B-D196A435F9E8}" name="Required_Field_Check" dataDxfId="1">
      <calculatedColumnFormula>COUNTBLANK(A2:J2)+COUNTBLANK(L2)</calculatedColumnFormula>
    </tableColumn>
    <tableColumn id="17" xr3:uid="{8FEF5471-1FA8-437D-B595-BE060CDA473F}" name="TAT_Check" dataDxfId="0">
      <calculatedColumnFormula>IF(L2=M2,"Correct","Mismatch")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F1" workbookViewId="0">
      <pane ySplit="1" topLeftCell="A2" activePane="bottomLeft" state="frozen"/>
      <selection pane="bottomLeft" activeCell="R1" sqref="R1"/>
    </sheetView>
  </sheetViews>
  <sheetFormatPr defaultRowHeight="14.4" x14ac:dyDescent="0.3"/>
  <cols>
    <col min="1" max="1" width="15" customWidth="1"/>
    <col min="2" max="2" width="16" customWidth="1"/>
    <col min="3" max="3" width="19" customWidth="1"/>
    <col min="4" max="4" width="23" customWidth="1"/>
    <col min="5" max="5" width="21" customWidth="1"/>
    <col min="6" max="6" width="14" customWidth="1"/>
    <col min="7" max="8" width="16" customWidth="1"/>
    <col min="9" max="9" width="12" customWidth="1"/>
    <col min="10" max="10" width="15" customWidth="1"/>
    <col min="11" max="11" width="26" customWidth="1"/>
    <col min="12" max="12" width="18" customWidth="1"/>
  </cols>
  <sheetData>
    <row r="1" spans="1:1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581</v>
      </c>
      <c r="N1" t="s">
        <v>582</v>
      </c>
      <c r="O1" t="s">
        <v>583</v>
      </c>
      <c r="P1" t="s">
        <v>584</v>
      </c>
      <c r="Q1" t="s">
        <v>585</v>
      </c>
    </row>
    <row r="2" spans="1:17" x14ac:dyDescent="0.3">
      <c r="A2" t="s">
        <v>12</v>
      </c>
      <c r="B2" s="2">
        <v>46287</v>
      </c>
      <c r="C2" s="3">
        <v>0.78</v>
      </c>
      <c r="D2" s="3">
        <v>10.199999999999999</v>
      </c>
      <c r="E2" s="3">
        <v>7.62</v>
      </c>
      <c r="F2" s="4">
        <v>0</v>
      </c>
      <c r="G2" s="5">
        <v>8446.9500000000007</v>
      </c>
      <c r="H2" t="s">
        <v>13</v>
      </c>
      <c r="I2" t="s">
        <v>14</v>
      </c>
      <c r="J2" t="s">
        <v>15</v>
      </c>
      <c r="L2" s="3">
        <f>SUM(C2:E2)</f>
        <v>18.599999999999998</v>
      </c>
      <c r="M2" s="3">
        <f>SUM(C2:E2)</f>
        <v>18.599999999999998</v>
      </c>
      <c r="N2" t="b">
        <f t="shared" ref="N2:N65" si="0">COUNTIF(A:A,A2)&gt;1</f>
        <v>0</v>
      </c>
      <c r="O2">
        <f t="shared" ref="O2:O65" si="1">COUNTBLANK(A2:L2)</f>
        <v>1</v>
      </c>
      <c r="P2" s="3">
        <f t="shared" ref="P2:P65" si="2">COUNTBLANK(A2:J2)+COUNTBLANK(L2)</f>
        <v>0</v>
      </c>
      <c r="Q2" t="str">
        <f t="shared" ref="Q2:Q65" si="3">IF(L2=M2,"Correct","Mismatch")</f>
        <v>Correct</v>
      </c>
    </row>
    <row r="3" spans="1:17" x14ac:dyDescent="0.3">
      <c r="A3" t="s">
        <v>16</v>
      </c>
      <c r="B3" s="2">
        <v>46238</v>
      </c>
      <c r="C3" s="3">
        <v>1.68</v>
      </c>
      <c r="D3" s="3">
        <v>9.2899999999999991</v>
      </c>
      <c r="E3" s="3">
        <v>18.71</v>
      </c>
      <c r="F3" s="4">
        <v>2</v>
      </c>
      <c r="G3" s="5">
        <v>17019.16</v>
      </c>
      <c r="H3" t="s">
        <v>13</v>
      </c>
      <c r="I3" t="s">
        <v>17</v>
      </c>
      <c r="J3" t="s">
        <v>18</v>
      </c>
      <c r="L3" s="3">
        <f t="shared" ref="L3:L66" si="4">SUM(C3:E3)</f>
        <v>29.68</v>
      </c>
      <c r="M3" s="3">
        <f t="shared" ref="M3:M65" si="5">SUM(C3:E3)</f>
        <v>29.68</v>
      </c>
      <c r="N3" t="b">
        <f t="shared" si="0"/>
        <v>0</v>
      </c>
      <c r="O3">
        <f t="shared" si="1"/>
        <v>1</v>
      </c>
      <c r="P3" s="3">
        <f t="shared" si="2"/>
        <v>0</v>
      </c>
      <c r="Q3" t="str">
        <f t="shared" si="3"/>
        <v>Correct</v>
      </c>
    </row>
    <row r="4" spans="1:17" x14ac:dyDescent="0.3">
      <c r="A4" t="s">
        <v>19</v>
      </c>
      <c r="B4" s="2">
        <v>46258</v>
      </c>
      <c r="C4" s="3">
        <v>0.96</v>
      </c>
      <c r="D4" s="3">
        <v>0.88</v>
      </c>
      <c r="E4" s="3">
        <v>3.18</v>
      </c>
      <c r="F4" s="4">
        <v>1</v>
      </c>
      <c r="G4" s="5">
        <v>13415.42</v>
      </c>
      <c r="H4" t="s">
        <v>13</v>
      </c>
      <c r="I4" t="s">
        <v>20</v>
      </c>
      <c r="J4" t="s">
        <v>21</v>
      </c>
      <c r="K4" t="s">
        <v>22</v>
      </c>
      <c r="L4" s="3">
        <f t="shared" si="4"/>
        <v>5.0199999999999996</v>
      </c>
      <c r="M4" s="3">
        <f t="shared" si="5"/>
        <v>5.0199999999999996</v>
      </c>
      <c r="N4" t="b">
        <f t="shared" si="0"/>
        <v>0</v>
      </c>
      <c r="O4">
        <f t="shared" si="1"/>
        <v>0</v>
      </c>
      <c r="P4" s="3">
        <f t="shared" si="2"/>
        <v>0</v>
      </c>
      <c r="Q4" t="str">
        <f t="shared" si="3"/>
        <v>Correct</v>
      </c>
    </row>
    <row r="5" spans="1:17" x14ac:dyDescent="0.3">
      <c r="A5" t="s">
        <v>23</v>
      </c>
      <c r="B5" s="2">
        <v>46262</v>
      </c>
      <c r="C5" s="3">
        <v>1.79</v>
      </c>
      <c r="D5" s="3">
        <v>2.46</v>
      </c>
      <c r="E5" s="3">
        <v>4.37</v>
      </c>
      <c r="F5" s="4">
        <v>1</v>
      </c>
      <c r="G5" s="5">
        <v>7400.96</v>
      </c>
      <c r="H5" t="s">
        <v>24</v>
      </c>
      <c r="I5" t="s">
        <v>14</v>
      </c>
      <c r="J5" t="s">
        <v>18</v>
      </c>
      <c r="L5" s="3">
        <f t="shared" si="4"/>
        <v>8.620000000000001</v>
      </c>
      <c r="M5" s="3">
        <f t="shared" si="5"/>
        <v>8.620000000000001</v>
      </c>
      <c r="N5" t="b">
        <f t="shared" si="0"/>
        <v>0</v>
      </c>
      <c r="O5">
        <f t="shared" si="1"/>
        <v>1</v>
      </c>
      <c r="P5" s="3">
        <f t="shared" si="2"/>
        <v>0</v>
      </c>
      <c r="Q5" t="str">
        <f t="shared" si="3"/>
        <v>Correct</v>
      </c>
    </row>
    <row r="6" spans="1:17" x14ac:dyDescent="0.3">
      <c r="A6" t="s">
        <v>25</v>
      </c>
      <c r="B6" s="2">
        <v>46282</v>
      </c>
      <c r="C6" s="3">
        <v>1.78</v>
      </c>
      <c r="D6" s="3">
        <v>3.74</v>
      </c>
      <c r="E6" s="3">
        <v>1.51</v>
      </c>
      <c r="F6" s="4">
        <v>0</v>
      </c>
      <c r="G6" s="5">
        <v>13814.31</v>
      </c>
      <c r="H6" t="s">
        <v>24</v>
      </c>
      <c r="I6" t="s">
        <v>26</v>
      </c>
      <c r="J6" t="s">
        <v>18</v>
      </c>
      <c r="L6" s="3">
        <f t="shared" si="4"/>
        <v>7.03</v>
      </c>
      <c r="M6" s="3">
        <f t="shared" si="5"/>
        <v>7.03</v>
      </c>
      <c r="N6" t="b">
        <f t="shared" si="0"/>
        <v>0</v>
      </c>
      <c r="O6">
        <f t="shared" si="1"/>
        <v>1</v>
      </c>
      <c r="P6" s="3">
        <f t="shared" si="2"/>
        <v>0</v>
      </c>
      <c r="Q6" t="str">
        <f t="shared" si="3"/>
        <v>Correct</v>
      </c>
    </row>
    <row r="7" spans="1:17" x14ac:dyDescent="0.3">
      <c r="A7" t="s">
        <v>27</v>
      </c>
      <c r="B7" s="2">
        <v>46242</v>
      </c>
      <c r="C7" s="3">
        <v>0.61</v>
      </c>
      <c r="D7" s="3">
        <v>1.69</v>
      </c>
      <c r="E7" s="3">
        <v>5.86</v>
      </c>
      <c r="F7" s="4">
        <v>0</v>
      </c>
      <c r="G7" s="5">
        <v>75261.62</v>
      </c>
      <c r="H7" t="s">
        <v>13</v>
      </c>
      <c r="I7" t="s">
        <v>20</v>
      </c>
      <c r="J7" t="s">
        <v>18</v>
      </c>
      <c r="L7" s="3">
        <f t="shared" si="4"/>
        <v>8.16</v>
      </c>
      <c r="M7" s="3">
        <f t="shared" si="5"/>
        <v>8.16</v>
      </c>
      <c r="N7" t="b">
        <f t="shared" si="0"/>
        <v>0</v>
      </c>
      <c r="O7">
        <f t="shared" si="1"/>
        <v>1</v>
      </c>
      <c r="P7" s="3">
        <f t="shared" si="2"/>
        <v>0</v>
      </c>
      <c r="Q7" t="str">
        <f t="shared" si="3"/>
        <v>Correct</v>
      </c>
    </row>
    <row r="8" spans="1:17" x14ac:dyDescent="0.3">
      <c r="A8" t="s">
        <v>28</v>
      </c>
      <c r="B8" s="2">
        <v>46261</v>
      </c>
      <c r="C8" s="3">
        <v>1.87</v>
      </c>
      <c r="D8" s="3">
        <v>1.05</v>
      </c>
      <c r="E8" s="3">
        <v>2.63</v>
      </c>
      <c r="F8" s="4">
        <v>1</v>
      </c>
      <c r="G8" s="5">
        <v>17606.5</v>
      </c>
      <c r="H8" t="s">
        <v>24</v>
      </c>
      <c r="I8" t="s">
        <v>14</v>
      </c>
      <c r="J8" t="s">
        <v>21</v>
      </c>
      <c r="K8" t="s">
        <v>29</v>
      </c>
      <c r="L8" s="3">
        <f t="shared" si="4"/>
        <v>5.55</v>
      </c>
      <c r="M8" s="3">
        <f t="shared" si="5"/>
        <v>5.55</v>
      </c>
      <c r="N8" t="b">
        <f t="shared" si="0"/>
        <v>0</v>
      </c>
      <c r="O8">
        <f t="shared" si="1"/>
        <v>0</v>
      </c>
      <c r="P8" s="3">
        <f t="shared" si="2"/>
        <v>0</v>
      </c>
      <c r="Q8" t="str">
        <f t="shared" si="3"/>
        <v>Correct</v>
      </c>
    </row>
    <row r="9" spans="1:17" x14ac:dyDescent="0.3">
      <c r="A9" t="s">
        <v>30</v>
      </c>
      <c r="B9" s="2">
        <v>46244</v>
      </c>
      <c r="C9" s="3">
        <v>6.38</v>
      </c>
      <c r="D9" s="3">
        <v>13.56</v>
      </c>
      <c r="E9" s="3">
        <v>7.07</v>
      </c>
      <c r="F9" s="4">
        <v>1</v>
      </c>
      <c r="G9" s="5">
        <v>73851.39</v>
      </c>
      <c r="H9" t="s">
        <v>13</v>
      </c>
      <c r="I9" t="s">
        <v>20</v>
      </c>
      <c r="J9" t="s">
        <v>18</v>
      </c>
      <c r="L9" s="3">
        <f t="shared" si="4"/>
        <v>27.01</v>
      </c>
      <c r="M9" s="3">
        <f t="shared" si="5"/>
        <v>27.01</v>
      </c>
      <c r="N9" t="b">
        <f t="shared" si="0"/>
        <v>0</v>
      </c>
      <c r="O9">
        <f t="shared" si="1"/>
        <v>1</v>
      </c>
      <c r="P9" s="3">
        <f t="shared" si="2"/>
        <v>0</v>
      </c>
      <c r="Q9" t="str">
        <f t="shared" si="3"/>
        <v>Correct</v>
      </c>
    </row>
    <row r="10" spans="1:17" x14ac:dyDescent="0.3">
      <c r="A10" t="s">
        <v>31</v>
      </c>
      <c r="B10" s="2">
        <v>46282</v>
      </c>
      <c r="C10" s="3">
        <v>2.37</v>
      </c>
      <c r="D10" s="3">
        <v>6.98</v>
      </c>
      <c r="E10" s="3">
        <v>3.11</v>
      </c>
      <c r="F10" s="4">
        <v>0</v>
      </c>
      <c r="G10" s="5">
        <v>6874.09</v>
      </c>
      <c r="H10" t="s">
        <v>24</v>
      </c>
      <c r="I10" t="s">
        <v>26</v>
      </c>
      <c r="J10" t="s">
        <v>18</v>
      </c>
      <c r="L10" s="3">
        <f t="shared" si="4"/>
        <v>12.46</v>
      </c>
      <c r="M10" s="3">
        <f t="shared" si="5"/>
        <v>12.46</v>
      </c>
      <c r="N10" t="b">
        <f t="shared" si="0"/>
        <v>0</v>
      </c>
      <c r="O10">
        <f t="shared" si="1"/>
        <v>1</v>
      </c>
      <c r="P10" s="3">
        <f t="shared" si="2"/>
        <v>0</v>
      </c>
      <c r="Q10" t="str">
        <f t="shared" si="3"/>
        <v>Correct</v>
      </c>
    </row>
    <row r="11" spans="1:17" x14ac:dyDescent="0.3">
      <c r="A11" t="s">
        <v>32</v>
      </c>
      <c r="B11" s="2">
        <v>46272</v>
      </c>
      <c r="C11" s="3">
        <v>0.5</v>
      </c>
      <c r="D11" s="3">
        <v>9.41</v>
      </c>
      <c r="E11" s="3">
        <v>4.62</v>
      </c>
      <c r="F11" s="4">
        <v>1</v>
      </c>
      <c r="G11" s="5">
        <v>28498.89</v>
      </c>
      <c r="H11" t="s">
        <v>24</v>
      </c>
      <c r="I11" t="s">
        <v>17</v>
      </c>
      <c r="J11" t="s">
        <v>18</v>
      </c>
      <c r="L11" s="3">
        <f t="shared" si="4"/>
        <v>14.530000000000001</v>
      </c>
      <c r="M11" s="3">
        <f t="shared" si="5"/>
        <v>14.530000000000001</v>
      </c>
      <c r="N11" t="b">
        <f t="shared" si="0"/>
        <v>0</v>
      </c>
      <c r="O11">
        <f t="shared" si="1"/>
        <v>1</v>
      </c>
      <c r="P11" s="3">
        <f t="shared" si="2"/>
        <v>0</v>
      </c>
      <c r="Q11" t="str">
        <f t="shared" si="3"/>
        <v>Correct</v>
      </c>
    </row>
    <row r="12" spans="1:17" x14ac:dyDescent="0.3">
      <c r="A12" t="s">
        <v>33</v>
      </c>
      <c r="B12" s="2">
        <v>46264</v>
      </c>
      <c r="C12" s="3">
        <v>0.74</v>
      </c>
      <c r="D12" s="3">
        <v>10.65</v>
      </c>
      <c r="E12" s="3">
        <v>5.26</v>
      </c>
      <c r="F12" s="4">
        <v>1</v>
      </c>
      <c r="G12" s="5">
        <v>18398.88</v>
      </c>
      <c r="H12" t="s">
        <v>24</v>
      </c>
      <c r="I12" t="s">
        <v>17</v>
      </c>
      <c r="J12" t="s">
        <v>18</v>
      </c>
      <c r="L12" s="3">
        <f t="shared" si="4"/>
        <v>16.649999999999999</v>
      </c>
      <c r="M12" s="3">
        <f t="shared" si="5"/>
        <v>16.649999999999999</v>
      </c>
      <c r="N12" t="b">
        <f t="shared" si="0"/>
        <v>0</v>
      </c>
      <c r="O12">
        <f t="shared" si="1"/>
        <v>1</v>
      </c>
      <c r="P12" s="3">
        <f t="shared" si="2"/>
        <v>0</v>
      </c>
      <c r="Q12" t="str">
        <f t="shared" si="3"/>
        <v>Correct</v>
      </c>
    </row>
    <row r="13" spans="1:17" x14ac:dyDescent="0.3">
      <c r="A13" t="s">
        <v>34</v>
      </c>
      <c r="B13" s="2">
        <v>46258</v>
      </c>
      <c r="C13" s="3">
        <v>1.62</v>
      </c>
      <c r="D13" s="3">
        <v>1.97</v>
      </c>
      <c r="E13" s="3">
        <v>1.58</v>
      </c>
      <c r="F13" s="4">
        <v>2</v>
      </c>
      <c r="G13" s="5">
        <v>48444.45</v>
      </c>
      <c r="H13" t="s">
        <v>13</v>
      </c>
      <c r="I13" t="s">
        <v>20</v>
      </c>
      <c r="J13" t="s">
        <v>18</v>
      </c>
      <c r="L13" s="3">
        <f t="shared" si="4"/>
        <v>5.17</v>
      </c>
      <c r="M13" s="3">
        <f t="shared" si="5"/>
        <v>5.17</v>
      </c>
      <c r="N13" t="b">
        <f t="shared" si="0"/>
        <v>0</v>
      </c>
      <c r="O13">
        <f t="shared" si="1"/>
        <v>1</v>
      </c>
      <c r="P13" s="3">
        <f t="shared" si="2"/>
        <v>0</v>
      </c>
      <c r="Q13" t="str">
        <f t="shared" si="3"/>
        <v>Correct</v>
      </c>
    </row>
    <row r="14" spans="1:17" x14ac:dyDescent="0.3">
      <c r="A14" t="s">
        <v>35</v>
      </c>
      <c r="B14" s="2">
        <v>46244</v>
      </c>
      <c r="C14" s="3">
        <v>0.75</v>
      </c>
      <c r="D14" s="3">
        <v>1.95</v>
      </c>
      <c r="E14" s="3">
        <v>3.77</v>
      </c>
      <c r="F14" s="4">
        <v>1</v>
      </c>
      <c r="G14" s="5">
        <v>5900</v>
      </c>
      <c r="H14" t="s">
        <v>24</v>
      </c>
      <c r="I14" t="s">
        <v>14</v>
      </c>
      <c r="J14" t="s">
        <v>18</v>
      </c>
      <c r="L14" s="3">
        <f t="shared" si="4"/>
        <v>6.4700000000000006</v>
      </c>
      <c r="M14" s="3">
        <f t="shared" si="5"/>
        <v>6.4700000000000006</v>
      </c>
      <c r="N14" t="b">
        <f t="shared" si="0"/>
        <v>0</v>
      </c>
      <c r="O14">
        <f t="shared" si="1"/>
        <v>1</v>
      </c>
      <c r="P14" s="3">
        <f t="shared" si="2"/>
        <v>0</v>
      </c>
      <c r="Q14" t="str">
        <f t="shared" si="3"/>
        <v>Correct</v>
      </c>
    </row>
    <row r="15" spans="1:17" x14ac:dyDescent="0.3">
      <c r="A15" t="s">
        <v>36</v>
      </c>
      <c r="B15" s="2">
        <v>46290</v>
      </c>
      <c r="C15" s="3">
        <v>3.81</v>
      </c>
      <c r="D15" s="3">
        <v>4.71</v>
      </c>
      <c r="E15" s="3">
        <v>5.27</v>
      </c>
      <c r="F15" s="4">
        <v>1</v>
      </c>
      <c r="G15" s="5">
        <v>7397.52</v>
      </c>
      <c r="H15" t="s">
        <v>24</v>
      </c>
      <c r="I15" t="s">
        <v>20</v>
      </c>
      <c r="J15" t="s">
        <v>18</v>
      </c>
      <c r="L15" s="3">
        <f t="shared" si="4"/>
        <v>13.79</v>
      </c>
      <c r="M15" s="3">
        <f t="shared" si="5"/>
        <v>13.79</v>
      </c>
      <c r="N15" t="b">
        <f t="shared" si="0"/>
        <v>0</v>
      </c>
      <c r="O15">
        <f t="shared" si="1"/>
        <v>1</v>
      </c>
      <c r="P15" s="3">
        <f t="shared" si="2"/>
        <v>0</v>
      </c>
      <c r="Q15" t="str">
        <f t="shared" si="3"/>
        <v>Correct</v>
      </c>
    </row>
    <row r="16" spans="1:17" x14ac:dyDescent="0.3">
      <c r="A16" t="s">
        <v>37</v>
      </c>
      <c r="B16" s="2">
        <v>46273</v>
      </c>
      <c r="C16" s="3">
        <v>0.44</v>
      </c>
      <c r="D16" s="3">
        <v>8.1999999999999993</v>
      </c>
      <c r="E16" s="3">
        <v>3.14</v>
      </c>
      <c r="F16" s="4">
        <v>0</v>
      </c>
      <c r="G16" s="5">
        <v>10304.14</v>
      </c>
      <c r="H16" t="s">
        <v>24</v>
      </c>
      <c r="I16" t="s">
        <v>17</v>
      </c>
      <c r="J16" t="s">
        <v>21</v>
      </c>
      <c r="K16" t="s">
        <v>22</v>
      </c>
      <c r="L16" s="3">
        <f t="shared" si="4"/>
        <v>11.78</v>
      </c>
      <c r="M16" s="3">
        <f t="shared" si="5"/>
        <v>11.78</v>
      </c>
      <c r="N16" t="b">
        <f t="shared" si="0"/>
        <v>0</v>
      </c>
      <c r="O16">
        <f t="shared" si="1"/>
        <v>0</v>
      </c>
      <c r="P16" s="3">
        <f t="shared" si="2"/>
        <v>0</v>
      </c>
      <c r="Q16" t="str">
        <f t="shared" si="3"/>
        <v>Correct</v>
      </c>
    </row>
    <row r="17" spans="1:17" x14ac:dyDescent="0.3">
      <c r="A17" t="s">
        <v>38</v>
      </c>
      <c r="B17" s="2">
        <v>46254</v>
      </c>
      <c r="C17" s="3">
        <v>2.39</v>
      </c>
      <c r="D17" s="3">
        <v>1.18</v>
      </c>
      <c r="E17" s="3">
        <v>1.57</v>
      </c>
      <c r="F17" s="4">
        <v>0</v>
      </c>
      <c r="G17" s="5">
        <v>10103.51</v>
      </c>
      <c r="H17" t="s">
        <v>24</v>
      </c>
      <c r="I17" t="s">
        <v>26</v>
      </c>
      <c r="J17" t="s">
        <v>18</v>
      </c>
      <c r="L17" s="3">
        <f t="shared" si="4"/>
        <v>5.1400000000000006</v>
      </c>
      <c r="M17" s="3">
        <f t="shared" si="5"/>
        <v>5.1400000000000006</v>
      </c>
      <c r="N17" t="b">
        <f t="shared" si="0"/>
        <v>0</v>
      </c>
      <c r="O17">
        <f t="shared" si="1"/>
        <v>1</v>
      </c>
      <c r="P17" s="3">
        <f t="shared" si="2"/>
        <v>0</v>
      </c>
      <c r="Q17" t="str">
        <f t="shared" si="3"/>
        <v>Correct</v>
      </c>
    </row>
    <row r="18" spans="1:17" x14ac:dyDescent="0.3">
      <c r="A18" t="s">
        <v>39</v>
      </c>
      <c r="B18" s="2">
        <v>46259</v>
      </c>
      <c r="C18" s="3">
        <v>0.34</v>
      </c>
      <c r="D18" s="3">
        <v>4.4800000000000004</v>
      </c>
      <c r="E18" s="3">
        <v>3.33</v>
      </c>
      <c r="F18" s="4">
        <v>1</v>
      </c>
      <c r="G18" s="5">
        <v>9414.64</v>
      </c>
      <c r="H18" t="s">
        <v>24</v>
      </c>
      <c r="I18" t="s">
        <v>14</v>
      </c>
      <c r="J18" t="s">
        <v>21</v>
      </c>
      <c r="K18" t="s">
        <v>22</v>
      </c>
      <c r="L18" s="3">
        <f t="shared" si="4"/>
        <v>8.15</v>
      </c>
      <c r="M18" s="3">
        <f t="shared" si="5"/>
        <v>8.15</v>
      </c>
      <c r="N18" t="b">
        <f t="shared" si="0"/>
        <v>0</v>
      </c>
      <c r="O18">
        <f t="shared" si="1"/>
        <v>0</v>
      </c>
      <c r="P18" s="3">
        <f t="shared" si="2"/>
        <v>0</v>
      </c>
      <c r="Q18" t="str">
        <f t="shared" si="3"/>
        <v>Correct</v>
      </c>
    </row>
    <row r="19" spans="1:17" x14ac:dyDescent="0.3">
      <c r="A19" t="s">
        <v>40</v>
      </c>
      <c r="B19" s="2">
        <v>46278</v>
      </c>
      <c r="C19" s="3">
        <v>1.6</v>
      </c>
      <c r="D19" s="3">
        <v>5.12</v>
      </c>
      <c r="E19" s="3">
        <v>3.79</v>
      </c>
      <c r="F19" s="4">
        <v>0</v>
      </c>
      <c r="G19" s="5">
        <v>19584.18</v>
      </c>
      <c r="H19" t="s">
        <v>13</v>
      </c>
      <c r="I19" t="s">
        <v>26</v>
      </c>
      <c r="J19" t="s">
        <v>18</v>
      </c>
      <c r="L19" s="3">
        <f t="shared" si="4"/>
        <v>10.510000000000002</v>
      </c>
      <c r="M19" s="3">
        <f t="shared" si="5"/>
        <v>10.510000000000002</v>
      </c>
      <c r="N19" t="b">
        <f t="shared" si="0"/>
        <v>0</v>
      </c>
      <c r="O19">
        <f t="shared" si="1"/>
        <v>1</v>
      </c>
      <c r="P19" s="3">
        <f t="shared" si="2"/>
        <v>0</v>
      </c>
      <c r="Q19" t="str">
        <f t="shared" si="3"/>
        <v>Correct</v>
      </c>
    </row>
    <row r="20" spans="1:17" x14ac:dyDescent="0.3">
      <c r="A20" t="s">
        <v>41</v>
      </c>
      <c r="B20" s="2">
        <v>46278</v>
      </c>
      <c r="C20" s="3">
        <v>0.65</v>
      </c>
      <c r="D20" s="3">
        <v>7.4</v>
      </c>
      <c r="E20" s="3">
        <v>1.34</v>
      </c>
      <c r="F20" s="4">
        <v>0</v>
      </c>
      <c r="G20" s="5">
        <v>8796.36</v>
      </c>
      <c r="H20" t="s">
        <v>24</v>
      </c>
      <c r="I20" t="s">
        <v>20</v>
      </c>
      <c r="J20" t="s">
        <v>18</v>
      </c>
      <c r="L20" s="3">
        <f t="shared" si="4"/>
        <v>9.39</v>
      </c>
      <c r="M20" s="3">
        <f t="shared" si="5"/>
        <v>9.39</v>
      </c>
      <c r="N20" t="b">
        <f t="shared" si="0"/>
        <v>0</v>
      </c>
      <c r="O20">
        <f t="shared" si="1"/>
        <v>1</v>
      </c>
      <c r="P20" s="3">
        <f t="shared" si="2"/>
        <v>0</v>
      </c>
      <c r="Q20" t="str">
        <f t="shared" si="3"/>
        <v>Correct</v>
      </c>
    </row>
    <row r="21" spans="1:17" x14ac:dyDescent="0.3">
      <c r="A21" t="s">
        <v>42</v>
      </c>
      <c r="B21" s="2">
        <v>46262</v>
      </c>
      <c r="C21" s="3">
        <v>2.7</v>
      </c>
      <c r="D21" s="3">
        <v>6.73</v>
      </c>
      <c r="E21" s="3">
        <v>2.0099999999999998</v>
      </c>
      <c r="F21" s="4">
        <v>4</v>
      </c>
      <c r="G21" s="5">
        <v>38085.089999999997</v>
      </c>
      <c r="H21" t="s">
        <v>13</v>
      </c>
      <c r="I21" t="s">
        <v>14</v>
      </c>
      <c r="J21" t="s">
        <v>18</v>
      </c>
      <c r="L21" s="3">
        <f t="shared" si="4"/>
        <v>11.44</v>
      </c>
      <c r="M21" s="3">
        <f t="shared" si="5"/>
        <v>11.44</v>
      </c>
      <c r="N21" t="b">
        <f t="shared" si="0"/>
        <v>0</v>
      </c>
      <c r="O21">
        <f t="shared" si="1"/>
        <v>1</v>
      </c>
      <c r="P21" s="3">
        <f t="shared" si="2"/>
        <v>0</v>
      </c>
      <c r="Q21" t="str">
        <f t="shared" si="3"/>
        <v>Correct</v>
      </c>
    </row>
    <row r="22" spans="1:17" x14ac:dyDescent="0.3">
      <c r="A22" t="s">
        <v>43</v>
      </c>
      <c r="B22" s="2">
        <v>46253</v>
      </c>
      <c r="C22" s="3">
        <v>3.39</v>
      </c>
      <c r="D22" s="3">
        <v>14.56</v>
      </c>
      <c r="E22" s="3">
        <v>9.2899999999999991</v>
      </c>
      <c r="F22" s="4">
        <v>2</v>
      </c>
      <c r="G22" s="5">
        <v>43471.27</v>
      </c>
      <c r="H22" t="s">
        <v>13</v>
      </c>
      <c r="I22" t="s">
        <v>14</v>
      </c>
      <c r="J22" t="s">
        <v>18</v>
      </c>
      <c r="L22" s="3">
        <f t="shared" si="4"/>
        <v>27.24</v>
      </c>
      <c r="M22" s="3">
        <f t="shared" si="5"/>
        <v>27.24</v>
      </c>
      <c r="N22" t="b">
        <f t="shared" si="0"/>
        <v>0</v>
      </c>
      <c r="O22">
        <f t="shared" si="1"/>
        <v>1</v>
      </c>
      <c r="P22" s="3">
        <f t="shared" si="2"/>
        <v>0</v>
      </c>
      <c r="Q22" t="str">
        <f t="shared" si="3"/>
        <v>Correct</v>
      </c>
    </row>
    <row r="23" spans="1:17" x14ac:dyDescent="0.3">
      <c r="A23" t="s">
        <v>44</v>
      </c>
      <c r="B23" s="2">
        <v>46274</v>
      </c>
      <c r="C23" s="3">
        <v>2.13</v>
      </c>
      <c r="D23" s="3">
        <v>5</v>
      </c>
      <c r="E23" s="3">
        <v>3.32</v>
      </c>
      <c r="F23" s="4">
        <v>0</v>
      </c>
      <c r="G23" s="5">
        <v>16367.34</v>
      </c>
      <c r="H23" t="s">
        <v>24</v>
      </c>
      <c r="I23" t="s">
        <v>17</v>
      </c>
      <c r="J23" t="s">
        <v>18</v>
      </c>
      <c r="L23" s="3">
        <f t="shared" si="4"/>
        <v>10.45</v>
      </c>
      <c r="M23" s="3">
        <f t="shared" si="5"/>
        <v>10.45</v>
      </c>
      <c r="N23" t="b">
        <f t="shared" si="0"/>
        <v>0</v>
      </c>
      <c r="O23">
        <f t="shared" si="1"/>
        <v>1</v>
      </c>
      <c r="P23" s="3">
        <f t="shared" si="2"/>
        <v>0</v>
      </c>
      <c r="Q23" t="str">
        <f t="shared" si="3"/>
        <v>Correct</v>
      </c>
    </row>
    <row r="24" spans="1:17" x14ac:dyDescent="0.3">
      <c r="A24" t="s">
        <v>45</v>
      </c>
      <c r="B24" s="2">
        <v>46274</v>
      </c>
      <c r="C24" s="3">
        <v>3.5</v>
      </c>
      <c r="D24" s="3">
        <v>1.55</v>
      </c>
      <c r="E24" s="3">
        <v>3.83</v>
      </c>
      <c r="F24" s="4">
        <v>1</v>
      </c>
      <c r="G24" s="5">
        <v>4663.01</v>
      </c>
      <c r="H24" t="s">
        <v>24</v>
      </c>
      <c r="I24" t="s">
        <v>20</v>
      </c>
      <c r="J24" t="s">
        <v>18</v>
      </c>
      <c r="L24" s="3">
        <f t="shared" si="4"/>
        <v>8.879999999999999</v>
      </c>
      <c r="M24" s="3">
        <f t="shared" si="5"/>
        <v>8.879999999999999</v>
      </c>
      <c r="N24" t="b">
        <f t="shared" si="0"/>
        <v>0</v>
      </c>
      <c r="O24">
        <f t="shared" si="1"/>
        <v>1</v>
      </c>
      <c r="P24" s="3">
        <f t="shared" si="2"/>
        <v>0</v>
      </c>
      <c r="Q24" t="str">
        <f t="shared" si="3"/>
        <v>Correct</v>
      </c>
    </row>
    <row r="25" spans="1:17" x14ac:dyDescent="0.3">
      <c r="A25" t="s">
        <v>46</v>
      </c>
      <c r="B25" s="2">
        <v>46270</v>
      </c>
      <c r="C25" s="3">
        <v>0.25</v>
      </c>
      <c r="D25" s="3">
        <v>10.6</v>
      </c>
      <c r="E25" s="3">
        <v>1.51</v>
      </c>
      <c r="F25" s="4">
        <v>0</v>
      </c>
      <c r="G25" s="5">
        <v>8917.26</v>
      </c>
      <c r="H25" t="s">
        <v>24</v>
      </c>
      <c r="I25" t="s">
        <v>20</v>
      </c>
      <c r="J25" t="s">
        <v>18</v>
      </c>
      <c r="L25" s="3">
        <f t="shared" si="4"/>
        <v>12.36</v>
      </c>
      <c r="M25" s="3">
        <f t="shared" si="5"/>
        <v>12.36</v>
      </c>
      <c r="N25" t="b">
        <f t="shared" si="0"/>
        <v>0</v>
      </c>
      <c r="O25">
        <f t="shared" si="1"/>
        <v>1</v>
      </c>
      <c r="P25" s="3">
        <f t="shared" si="2"/>
        <v>0</v>
      </c>
      <c r="Q25" t="str">
        <f t="shared" si="3"/>
        <v>Correct</v>
      </c>
    </row>
    <row r="26" spans="1:17" x14ac:dyDescent="0.3">
      <c r="A26" t="s">
        <v>47</v>
      </c>
      <c r="B26" s="2">
        <v>46239</v>
      </c>
      <c r="C26" s="3">
        <v>1.85</v>
      </c>
      <c r="D26" s="3">
        <v>5.17</v>
      </c>
      <c r="E26" s="3">
        <v>2.23</v>
      </c>
      <c r="F26" s="4">
        <v>2</v>
      </c>
      <c r="G26" s="5">
        <v>6305.23</v>
      </c>
      <c r="H26" t="s">
        <v>24</v>
      </c>
      <c r="I26" t="s">
        <v>14</v>
      </c>
      <c r="J26" t="s">
        <v>18</v>
      </c>
      <c r="L26" s="3">
        <f t="shared" si="4"/>
        <v>9.25</v>
      </c>
      <c r="M26" s="3">
        <f t="shared" si="5"/>
        <v>9.25</v>
      </c>
      <c r="N26" t="b">
        <f t="shared" si="0"/>
        <v>0</v>
      </c>
      <c r="O26">
        <f t="shared" si="1"/>
        <v>1</v>
      </c>
      <c r="P26" s="3">
        <f t="shared" si="2"/>
        <v>0</v>
      </c>
      <c r="Q26" t="str">
        <f t="shared" si="3"/>
        <v>Correct</v>
      </c>
    </row>
    <row r="27" spans="1:17" x14ac:dyDescent="0.3">
      <c r="A27" t="s">
        <v>48</v>
      </c>
      <c r="B27" s="2">
        <v>46263</v>
      </c>
      <c r="C27" s="3">
        <v>2.36</v>
      </c>
      <c r="D27" s="3">
        <v>3.81</v>
      </c>
      <c r="E27" s="3">
        <v>5.84</v>
      </c>
      <c r="F27" s="4">
        <v>0</v>
      </c>
      <c r="G27" s="5">
        <v>10522.2</v>
      </c>
      <c r="H27" t="s">
        <v>24</v>
      </c>
      <c r="I27" t="s">
        <v>26</v>
      </c>
      <c r="J27" t="s">
        <v>18</v>
      </c>
      <c r="L27" s="3">
        <f t="shared" si="4"/>
        <v>12.01</v>
      </c>
      <c r="M27" s="3">
        <f t="shared" si="5"/>
        <v>12.01</v>
      </c>
      <c r="N27" t="b">
        <f t="shared" si="0"/>
        <v>0</v>
      </c>
      <c r="O27">
        <f t="shared" si="1"/>
        <v>1</v>
      </c>
      <c r="P27" s="3">
        <f t="shared" si="2"/>
        <v>0</v>
      </c>
      <c r="Q27" t="str">
        <f t="shared" si="3"/>
        <v>Correct</v>
      </c>
    </row>
    <row r="28" spans="1:17" x14ac:dyDescent="0.3">
      <c r="A28" t="s">
        <v>49</v>
      </c>
      <c r="B28" s="2">
        <v>46271</v>
      </c>
      <c r="C28" s="3">
        <v>2.58</v>
      </c>
      <c r="D28" s="3">
        <v>4.4800000000000004</v>
      </c>
      <c r="E28" s="3">
        <v>1.94</v>
      </c>
      <c r="F28" s="4">
        <v>1</v>
      </c>
      <c r="G28" s="5">
        <v>73301.73</v>
      </c>
      <c r="H28" t="s">
        <v>13</v>
      </c>
      <c r="I28" t="s">
        <v>17</v>
      </c>
      <c r="J28" t="s">
        <v>18</v>
      </c>
      <c r="L28" s="3">
        <f t="shared" si="4"/>
        <v>9</v>
      </c>
      <c r="M28" s="3">
        <f t="shared" si="5"/>
        <v>9</v>
      </c>
      <c r="N28" t="b">
        <f t="shared" si="0"/>
        <v>0</v>
      </c>
      <c r="O28">
        <f t="shared" si="1"/>
        <v>1</v>
      </c>
      <c r="P28" s="3">
        <f t="shared" si="2"/>
        <v>0</v>
      </c>
      <c r="Q28" t="str">
        <f t="shared" si="3"/>
        <v>Correct</v>
      </c>
    </row>
    <row r="29" spans="1:17" x14ac:dyDescent="0.3">
      <c r="A29" t="s">
        <v>50</v>
      </c>
      <c r="B29" s="2">
        <v>46292</v>
      </c>
      <c r="C29" s="3">
        <v>2.2599999999999998</v>
      </c>
      <c r="D29" s="3">
        <v>4.13</v>
      </c>
      <c r="E29" s="3">
        <v>4.3600000000000003</v>
      </c>
      <c r="F29" s="4">
        <v>1</v>
      </c>
      <c r="G29" s="5">
        <v>20937.349999999999</v>
      </c>
      <c r="H29" t="s">
        <v>13</v>
      </c>
      <c r="I29" t="s">
        <v>26</v>
      </c>
      <c r="J29" t="s">
        <v>18</v>
      </c>
      <c r="L29" s="3">
        <f t="shared" si="4"/>
        <v>10.75</v>
      </c>
      <c r="M29" s="3">
        <f t="shared" si="5"/>
        <v>10.75</v>
      </c>
      <c r="N29" t="b">
        <f t="shared" si="0"/>
        <v>0</v>
      </c>
      <c r="O29">
        <f t="shared" si="1"/>
        <v>1</v>
      </c>
      <c r="P29" s="3">
        <f t="shared" si="2"/>
        <v>0</v>
      </c>
      <c r="Q29" t="str">
        <f t="shared" si="3"/>
        <v>Correct</v>
      </c>
    </row>
    <row r="30" spans="1:17" x14ac:dyDescent="0.3">
      <c r="A30" t="s">
        <v>51</v>
      </c>
      <c r="B30" s="2">
        <v>46266</v>
      </c>
      <c r="C30" s="3">
        <v>2.62</v>
      </c>
      <c r="D30" s="3">
        <v>3.96</v>
      </c>
      <c r="E30" s="3">
        <v>6.31</v>
      </c>
      <c r="F30" s="4">
        <v>1</v>
      </c>
      <c r="G30" s="5">
        <v>91672.01</v>
      </c>
      <c r="H30" t="s">
        <v>13</v>
      </c>
      <c r="I30" t="s">
        <v>26</v>
      </c>
      <c r="J30" t="s">
        <v>21</v>
      </c>
      <c r="K30" t="s">
        <v>22</v>
      </c>
      <c r="L30" s="3">
        <f t="shared" si="4"/>
        <v>12.89</v>
      </c>
      <c r="M30" s="3">
        <f t="shared" si="5"/>
        <v>12.89</v>
      </c>
      <c r="N30" t="b">
        <f t="shared" si="0"/>
        <v>0</v>
      </c>
      <c r="O30">
        <f t="shared" si="1"/>
        <v>0</v>
      </c>
      <c r="P30" s="3">
        <f t="shared" si="2"/>
        <v>0</v>
      </c>
      <c r="Q30" t="str">
        <f t="shared" si="3"/>
        <v>Correct</v>
      </c>
    </row>
    <row r="31" spans="1:17" x14ac:dyDescent="0.3">
      <c r="A31" t="s">
        <v>52</v>
      </c>
      <c r="B31" s="2">
        <v>46255</v>
      </c>
      <c r="C31" s="3">
        <v>1.84</v>
      </c>
      <c r="D31" s="3">
        <v>1.49</v>
      </c>
      <c r="E31" s="3">
        <v>4.58</v>
      </c>
      <c r="F31" s="4">
        <v>0</v>
      </c>
      <c r="G31" s="5">
        <v>4810.2700000000004</v>
      </c>
      <c r="H31" t="s">
        <v>24</v>
      </c>
      <c r="I31" t="s">
        <v>14</v>
      </c>
      <c r="J31" t="s">
        <v>18</v>
      </c>
      <c r="L31" s="3">
        <f t="shared" si="4"/>
        <v>7.91</v>
      </c>
      <c r="M31" s="3">
        <f t="shared" si="5"/>
        <v>7.91</v>
      </c>
      <c r="N31" t="b">
        <f t="shared" si="0"/>
        <v>0</v>
      </c>
      <c r="O31">
        <f t="shared" si="1"/>
        <v>1</v>
      </c>
      <c r="P31" s="3">
        <f t="shared" si="2"/>
        <v>0</v>
      </c>
      <c r="Q31" t="str">
        <f t="shared" si="3"/>
        <v>Correct</v>
      </c>
    </row>
    <row r="32" spans="1:17" x14ac:dyDescent="0.3">
      <c r="A32" t="s">
        <v>53</v>
      </c>
      <c r="B32" s="2">
        <v>46268</v>
      </c>
      <c r="C32" s="3">
        <v>0.5</v>
      </c>
      <c r="D32" s="3">
        <v>0.6</v>
      </c>
      <c r="E32" s="3">
        <v>1.96</v>
      </c>
      <c r="F32" s="4">
        <v>0</v>
      </c>
      <c r="G32" s="5">
        <v>64516.74</v>
      </c>
      <c r="H32" t="s">
        <v>13</v>
      </c>
      <c r="I32" t="s">
        <v>14</v>
      </c>
      <c r="J32" t="s">
        <v>15</v>
      </c>
      <c r="L32" s="3">
        <f t="shared" si="4"/>
        <v>3.06</v>
      </c>
      <c r="M32" s="3">
        <f t="shared" si="5"/>
        <v>3.06</v>
      </c>
      <c r="N32" t="b">
        <f t="shared" si="0"/>
        <v>0</v>
      </c>
      <c r="O32">
        <f t="shared" si="1"/>
        <v>1</v>
      </c>
      <c r="P32" s="3">
        <f t="shared" si="2"/>
        <v>0</v>
      </c>
      <c r="Q32" t="str">
        <f t="shared" si="3"/>
        <v>Correct</v>
      </c>
    </row>
    <row r="33" spans="1:17" x14ac:dyDescent="0.3">
      <c r="A33" t="s">
        <v>54</v>
      </c>
      <c r="B33" s="2">
        <v>46245</v>
      </c>
      <c r="C33" s="3">
        <v>1.06</v>
      </c>
      <c r="D33" s="3">
        <v>3.89</v>
      </c>
      <c r="E33" s="3">
        <v>8.6999999999999993</v>
      </c>
      <c r="F33" s="4">
        <v>1</v>
      </c>
      <c r="G33" s="5">
        <v>37699.14</v>
      </c>
      <c r="H33" t="s">
        <v>13</v>
      </c>
      <c r="I33" t="s">
        <v>20</v>
      </c>
      <c r="J33" t="s">
        <v>18</v>
      </c>
      <c r="L33" s="3">
        <f t="shared" si="4"/>
        <v>13.649999999999999</v>
      </c>
      <c r="M33" s="3">
        <f t="shared" si="5"/>
        <v>13.649999999999999</v>
      </c>
      <c r="N33" t="b">
        <f t="shared" si="0"/>
        <v>0</v>
      </c>
      <c r="O33">
        <f t="shared" si="1"/>
        <v>1</v>
      </c>
      <c r="P33" s="3">
        <f t="shared" si="2"/>
        <v>0</v>
      </c>
      <c r="Q33" t="str">
        <f t="shared" si="3"/>
        <v>Correct</v>
      </c>
    </row>
    <row r="34" spans="1:17" x14ac:dyDescent="0.3">
      <c r="A34" t="s">
        <v>55</v>
      </c>
      <c r="B34" s="2">
        <v>46240</v>
      </c>
      <c r="C34" s="3">
        <v>3.82</v>
      </c>
      <c r="D34" s="3">
        <v>10.83</v>
      </c>
      <c r="E34" s="3">
        <v>4.68</v>
      </c>
      <c r="F34" s="4">
        <v>0</v>
      </c>
      <c r="G34" s="5">
        <v>7205.88</v>
      </c>
      <c r="H34" t="s">
        <v>24</v>
      </c>
      <c r="I34" t="s">
        <v>17</v>
      </c>
      <c r="J34" t="s">
        <v>21</v>
      </c>
      <c r="K34" t="s">
        <v>29</v>
      </c>
      <c r="L34" s="3">
        <f t="shared" si="4"/>
        <v>19.329999999999998</v>
      </c>
      <c r="M34" s="3">
        <f t="shared" si="5"/>
        <v>19.329999999999998</v>
      </c>
      <c r="N34" t="b">
        <f t="shared" si="0"/>
        <v>0</v>
      </c>
      <c r="O34">
        <f t="shared" si="1"/>
        <v>0</v>
      </c>
      <c r="P34" s="3">
        <f t="shared" si="2"/>
        <v>0</v>
      </c>
      <c r="Q34" t="str">
        <f t="shared" si="3"/>
        <v>Correct</v>
      </c>
    </row>
    <row r="35" spans="1:17" x14ac:dyDescent="0.3">
      <c r="A35" t="s">
        <v>56</v>
      </c>
      <c r="B35" s="2">
        <v>46275</v>
      </c>
      <c r="C35" s="3">
        <v>3.54</v>
      </c>
      <c r="D35" s="3">
        <v>14.82</v>
      </c>
      <c r="E35" s="3">
        <v>1.91</v>
      </c>
      <c r="F35" s="4">
        <v>0</v>
      </c>
      <c r="G35" s="5">
        <v>11761.66</v>
      </c>
      <c r="H35" t="s">
        <v>24</v>
      </c>
      <c r="I35" t="s">
        <v>17</v>
      </c>
      <c r="J35" t="s">
        <v>18</v>
      </c>
      <c r="L35" s="3">
        <f t="shared" si="4"/>
        <v>20.27</v>
      </c>
      <c r="M35" s="3">
        <f t="shared" si="5"/>
        <v>20.27</v>
      </c>
      <c r="N35" t="b">
        <f t="shared" si="0"/>
        <v>0</v>
      </c>
      <c r="O35">
        <f t="shared" si="1"/>
        <v>1</v>
      </c>
      <c r="P35" s="3">
        <f t="shared" si="2"/>
        <v>0</v>
      </c>
      <c r="Q35" t="str">
        <f t="shared" si="3"/>
        <v>Correct</v>
      </c>
    </row>
    <row r="36" spans="1:17" x14ac:dyDescent="0.3">
      <c r="A36" t="s">
        <v>57</v>
      </c>
      <c r="B36" s="2">
        <v>46294</v>
      </c>
      <c r="C36" s="3">
        <v>2.33</v>
      </c>
      <c r="D36" s="3">
        <v>12.52</v>
      </c>
      <c r="E36" s="3">
        <v>3.33</v>
      </c>
      <c r="F36" s="4">
        <v>1</v>
      </c>
      <c r="G36" s="5">
        <v>7551.78</v>
      </c>
      <c r="H36" t="s">
        <v>24</v>
      </c>
      <c r="I36" t="s">
        <v>17</v>
      </c>
      <c r="J36" t="s">
        <v>18</v>
      </c>
      <c r="L36" s="3">
        <f t="shared" si="4"/>
        <v>18.18</v>
      </c>
      <c r="M36" s="3">
        <f t="shared" si="5"/>
        <v>18.18</v>
      </c>
      <c r="N36" t="b">
        <f t="shared" si="0"/>
        <v>0</v>
      </c>
      <c r="O36">
        <f t="shared" si="1"/>
        <v>1</v>
      </c>
      <c r="P36" s="3">
        <f t="shared" si="2"/>
        <v>0</v>
      </c>
      <c r="Q36" t="str">
        <f t="shared" si="3"/>
        <v>Correct</v>
      </c>
    </row>
    <row r="37" spans="1:17" x14ac:dyDescent="0.3">
      <c r="A37" t="s">
        <v>58</v>
      </c>
      <c r="B37" s="2">
        <v>46285</v>
      </c>
      <c r="C37" s="3">
        <v>2.74</v>
      </c>
      <c r="D37" s="3">
        <v>7.88</v>
      </c>
      <c r="E37" s="3">
        <v>2.41</v>
      </c>
      <c r="F37" s="4">
        <v>0</v>
      </c>
      <c r="G37" s="5">
        <v>16172.55</v>
      </c>
      <c r="H37" t="s">
        <v>24</v>
      </c>
      <c r="I37" t="s">
        <v>26</v>
      </c>
      <c r="J37" t="s">
        <v>18</v>
      </c>
      <c r="L37" s="3">
        <f t="shared" si="4"/>
        <v>13.030000000000001</v>
      </c>
      <c r="M37" s="3">
        <f t="shared" si="5"/>
        <v>13.030000000000001</v>
      </c>
      <c r="N37" t="b">
        <f t="shared" si="0"/>
        <v>0</v>
      </c>
      <c r="O37">
        <f t="shared" si="1"/>
        <v>1</v>
      </c>
      <c r="P37" s="3">
        <f t="shared" si="2"/>
        <v>0</v>
      </c>
      <c r="Q37" t="str">
        <f t="shared" si="3"/>
        <v>Correct</v>
      </c>
    </row>
    <row r="38" spans="1:17" x14ac:dyDescent="0.3">
      <c r="A38" t="s">
        <v>59</v>
      </c>
      <c r="B38" s="2">
        <v>46270</v>
      </c>
      <c r="C38" s="3">
        <v>3.26</v>
      </c>
      <c r="D38" s="3">
        <v>1.65</v>
      </c>
      <c r="E38" s="3">
        <v>4.18</v>
      </c>
      <c r="F38" s="4">
        <v>1</v>
      </c>
      <c r="G38" s="5">
        <v>6464.1</v>
      </c>
      <c r="H38" t="s">
        <v>24</v>
      </c>
      <c r="I38" t="s">
        <v>26</v>
      </c>
      <c r="J38" t="s">
        <v>18</v>
      </c>
      <c r="L38" s="3">
        <f t="shared" si="4"/>
        <v>9.09</v>
      </c>
      <c r="M38" s="3">
        <f t="shared" si="5"/>
        <v>9.09</v>
      </c>
      <c r="N38" t="b">
        <f t="shared" si="0"/>
        <v>0</v>
      </c>
      <c r="O38">
        <f t="shared" si="1"/>
        <v>1</v>
      </c>
      <c r="P38" s="3">
        <f t="shared" si="2"/>
        <v>0</v>
      </c>
      <c r="Q38" t="str">
        <f t="shared" si="3"/>
        <v>Correct</v>
      </c>
    </row>
    <row r="39" spans="1:17" x14ac:dyDescent="0.3">
      <c r="A39" t="s">
        <v>60</v>
      </c>
      <c r="B39" s="2">
        <v>46237</v>
      </c>
      <c r="C39" s="3">
        <v>2.31</v>
      </c>
      <c r="D39" s="3">
        <v>7.87</v>
      </c>
      <c r="E39" s="3">
        <v>1.25</v>
      </c>
      <c r="F39" s="4">
        <v>0</v>
      </c>
      <c r="G39" s="5">
        <v>7041.52</v>
      </c>
      <c r="H39" t="s">
        <v>24</v>
      </c>
      <c r="I39" t="s">
        <v>17</v>
      </c>
      <c r="J39" t="s">
        <v>18</v>
      </c>
      <c r="L39" s="3">
        <f t="shared" si="4"/>
        <v>11.43</v>
      </c>
      <c r="M39" s="3">
        <f t="shared" si="5"/>
        <v>11.43</v>
      </c>
      <c r="N39" t="b">
        <f t="shared" si="0"/>
        <v>0</v>
      </c>
      <c r="O39">
        <f t="shared" si="1"/>
        <v>1</v>
      </c>
      <c r="P39" s="3">
        <f t="shared" si="2"/>
        <v>0</v>
      </c>
      <c r="Q39" t="str">
        <f t="shared" si="3"/>
        <v>Correct</v>
      </c>
    </row>
    <row r="40" spans="1:17" x14ac:dyDescent="0.3">
      <c r="A40" t="s">
        <v>61</v>
      </c>
      <c r="B40" s="2">
        <v>46294</v>
      </c>
      <c r="C40" s="3">
        <v>3.75</v>
      </c>
      <c r="D40" s="3">
        <v>5.73</v>
      </c>
      <c r="E40" s="3">
        <v>2.82</v>
      </c>
      <c r="F40" s="4">
        <v>0</v>
      </c>
      <c r="G40" s="5">
        <v>6898.06</v>
      </c>
      <c r="H40" t="s">
        <v>24</v>
      </c>
      <c r="I40" t="s">
        <v>26</v>
      </c>
      <c r="J40" t="s">
        <v>18</v>
      </c>
      <c r="L40" s="3">
        <f t="shared" si="4"/>
        <v>12.3</v>
      </c>
      <c r="M40" s="3">
        <f t="shared" si="5"/>
        <v>12.3</v>
      </c>
      <c r="N40" t="b">
        <f t="shared" si="0"/>
        <v>0</v>
      </c>
      <c r="O40">
        <f t="shared" si="1"/>
        <v>1</v>
      </c>
      <c r="P40" s="3">
        <f t="shared" si="2"/>
        <v>0</v>
      </c>
      <c r="Q40" t="str">
        <f t="shared" si="3"/>
        <v>Correct</v>
      </c>
    </row>
    <row r="41" spans="1:17" x14ac:dyDescent="0.3">
      <c r="A41" t="s">
        <v>62</v>
      </c>
      <c r="B41" s="2">
        <v>46261</v>
      </c>
      <c r="C41" s="3">
        <v>3.67</v>
      </c>
      <c r="D41" s="3">
        <v>8.08</v>
      </c>
      <c r="E41" s="3">
        <v>4.53</v>
      </c>
      <c r="F41" s="4">
        <v>2</v>
      </c>
      <c r="G41" s="5">
        <v>42876.7</v>
      </c>
      <c r="H41" t="s">
        <v>13</v>
      </c>
      <c r="I41" t="s">
        <v>14</v>
      </c>
      <c r="J41" t="s">
        <v>18</v>
      </c>
      <c r="L41" s="3">
        <f t="shared" si="4"/>
        <v>16.28</v>
      </c>
      <c r="M41" s="3">
        <f t="shared" si="5"/>
        <v>16.28</v>
      </c>
      <c r="N41" t="b">
        <f t="shared" si="0"/>
        <v>0</v>
      </c>
      <c r="O41">
        <f t="shared" si="1"/>
        <v>1</v>
      </c>
      <c r="P41" s="3">
        <f t="shared" si="2"/>
        <v>0</v>
      </c>
      <c r="Q41" t="str">
        <f t="shared" si="3"/>
        <v>Correct</v>
      </c>
    </row>
    <row r="42" spans="1:17" x14ac:dyDescent="0.3">
      <c r="A42" t="s">
        <v>63</v>
      </c>
      <c r="B42" s="2">
        <v>46252</v>
      </c>
      <c r="C42" s="3">
        <v>7.68</v>
      </c>
      <c r="D42" s="3">
        <v>8.35</v>
      </c>
      <c r="E42" s="3">
        <v>7.85</v>
      </c>
      <c r="F42" s="4">
        <v>0</v>
      </c>
      <c r="G42" s="5">
        <v>24368.21</v>
      </c>
      <c r="H42" t="s">
        <v>13</v>
      </c>
      <c r="I42" t="s">
        <v>17</v>
      </c>
      <c r="J42" t="s">
        <v>18</v>
      </c>
      <c r="L42" s="3">
        <f t="shared" si="4"/>
        <v>23.880000000000003</v>
      </c>
      <c r="M42" s="3">
        <f t="shared" si="5"/>
        <v>23.880000000000003</v>
      </c>
      <c r="N42" t="b">
        <f t="shared" si="0"/>
        <v>0</v>
      </c>
      <c r="O42">
        <f t="shared" si="1"/>
        <v>1</v>
      </c>
      <c r="P42" s="3">
        <f t="shared" si="2"/>
        <v>0</v>
      </c>
      <c r="Q42" t="str">
        <f t="shared" si="3"/>
        <v>Correct</v>
      </c>
    </row>
    <row r="43" spans="1:17" x14ac:dyDescent="0.3">
      <c r="A43" t="s">
        <v>64</v>
      </c>
      <c r="B43" s="2">
        <v>46288</v>
      </c>
      <c r="C43" s="3">
        <v>1.0900000000000001</v>
      </c>
      <c r="D43" s="3">
        <v>4.37</v>
      </c>
      <c r="E43" s="3">
        <v>2.83</v>
      </c>
      <c r="F43" s="4">
        <v>1</v>
      </c>
      <c r="G43" s="5">
        <v>13986.36</v>
      </c>
      <c r="H43" t="s">
        <v>24</v>
      </c>
      <c r="I43" t="s">
        <v>20</v>
      </c>
      <c r="J43" t="s">
        <v>18</v>
      </c>
      <c r="L43" s="3">
        <f t="shared" si="4"/>
        <v>8.2899999999999991</v>
      </c>
      <c r="M43" s="3">
        <f t="shared" si="5"/>
        <v>8.2899999999999991</v>
      </c>
      <c r="N43" t="b">
        <f t="shared" si="0"/>
        <v>0</v>
      </c>
      <c r="O43">
        <f t="shared" si="1"/>
        <v>1</v>
      </c>
      <c r="P43" s="3">
        <f t="shared" si="2"/>
        <v>0</v>
      </c>
      <c r="Q43" t="str">
        <f t="shared" si="3"/>
        <v>Correct</v>
      </c>
    </row>
    <row r="44" spans="1:17" x14ac:dyDescent="0.3">
      <c r="A44" t="s">
        <v>65</v>
      </c>
      <c r="B44" s="2">
        <v>46279</v>
      </c>
      <c r="C44" s="3">
        <v>1.1100000000000001</v>
      </c>
      <c r="D44" s="3">
        <v>10.039999999999999</v>
      </c>
      <c r="E44" s="3">
        <v>1.94</v>
      </c>
      <c r="F44" s="4">
        <v>2</v>
      </c>
      <c r="G44" s="5">
        <v>55601.87</v>
      </c>
      <c r="H44" t="s">
        <v>13</v>
      </c>
      <c r="I44" t="s">
        <v>14</v>
      </c>
      <c r="J44" t="s">
        <v>18</v>
      </c>
      <c r="L44" s="3">
        <f t="shared" si="4"/>
        <v>13.089999999999998</v>
      </c>
      <c r="M44" s="3">
        <f t="shared" si="5"/>
        <v>13.089999999999998</v>
      </c>
      <c r="N44" t="b">
        <f t="shared" si="0"/>
        <v>0</v>
      </c>
      <c r="O44">
        <f t="shared" si="1"/>
        <v>1</v>
      </c>
      <c r="P44" s="3">
        <f t="shared" si="2"/>
        <v>0</v>
      </c>
      <c r="Q44" t="str">
        <f t="shared" si="3"/>
        <v>Correct</v>
      </c>
    </row>
    <row r="45" spans="1:17" x14ac:dyDescent="0.3">
      <c r="A45" t="s">
        <v>66</v>
      </c>
      <c r="B45" s="2">
        <v>46279</v>
      </c>
      <c r="C45" s="3">
        <v>2.19</v>
      </c>
      <c r="D45" s="3">
        <v>12.46</v>
      </c>
      <c r="E45" s="3">
        <v>2.69</v>
      </c>
      <c r="F45" s="4">
        <v>0</v>
      </c>
      <c r="G45" s="5">
        <v>35553.86</v>
      </c>
      <c r="H45" t="s">
        <v>13</v>
      </c>
      <c r="I45" t="s">
        <v>17</v>
      </c>
      <c r="J45" t="s">
        <v>18</v>
      </c>
      <c r="L45" s="3">
        <f t="shared" si="4"/>
        <v>17.34</v>
      </c>
      <c r="M45" s="3">
        <f t="shared" si="5"/>
        <v>17.34</v>
      </c>
      <c r="N45" t="b">
        <f t="shared" si="0"/>
        <v>0</v>
      </c>
      <c r="O45">
        <f t="shared" si="1"/>
        <v>1</v>
      </c>
      <c r="P45" s="3">
        <f t="shared" si="2"/>
        <v>0</v>
      </c>
      <c r="Q45" t="str">
        <f t="shared" si="3"/>
        <v>Correct</v>
      </c>
    </row>
    <row r="46" spans="1:17" x14ac:dyDescent="0.3">
      <c r="A46" t="s">
        <v>67</v>
      </c>
      <c r="B46" s="2">
        <v>46251</v>
      </c>
      <c r="C46" s="3">
        <v>5.62</v>
      </c>
      <c r="D46" s="3">
        <v>6.31</v>
      </c>
      <c r="E46" s="3">
        <v>3.24</v>
      </c>
      <c r="F46" s="4">
        <v>0</v>
      </c>
      <c r="G46" s="5">
        <v>5614.49</v>
      </c>
      <c r="H46" t="s">
        <v>24</v>
      </c>
      <c r="I46" t="s">
        <v>20</v>
      </c>
      <c r="J46" t="s">
        <v>18</v>
      </c>
      <c r="L46" s="3">
        <f t="shared" si="4"/>
        <v>15.17</v>
      </c>
      <c r="M46" s="3">
        <f t="shared" si="5"/>
        <v>15.17</v>
      </c>
      <c r="N46" t="b">
        <f t="shared" si="0"/>
        <v>0</v>
      </c>
      <c r="O46">
        <f t="shared" si="1"/>
        <v>1</v>
      </c>
      <c r="P46" s="3">
        <f t="shared" si="2"/>
        <v>0</v>
      </c>
      <c r="Q46" t="str">
        <f t="shared" si="3"/>
        <v>Correct</v>
      </c>
    </row>
    <row r="47" spans="1:17" x14ac:dyDescent="0.3">
      <c r="A47" t="s">
        <v>68</v>
      </c>
      <c r="B47" s="2">
        <v>46294</v>
      </c>
      <c r="C47" s="3">
        <v>3.95</v>
      </c>
      <c r="D47" s="3">
        <v>2.78</v>
      </c>
      <c r="E47" s="3">
        <v>3.42</v>
      </c>
      <c r="F47" s="4">
        <v>0</v>
      </c>
      <c r="G47" s="5">
        <v>10287.969999999999</v>
      </c>
      <c r="H47" t="s">
        <v>24</v>
      </c>
      <c r="I47" t="s">
        <v>20</v>
      </c>
      <c r="J47" t="s">
        <v>18</v>
      </c>
      <c r="L47" s="3">
        <f t="shared" si="4"/>
        <v>10.15</v>
      </c>
      <c r="M47" s="3">
        <f t="shared" si="5"/>
        <v>10.15</v>
      </c>
      <c r="N47" t="b">
        <f t="shared" si="0"/>
        <v>0</v>
      </c>
      <c r="O47">
        <f t="shared" si="1"/>
        <v>1</v>
      </c>
      <c r="P47" s="3">
        <f t="shared" si="2"/>
        <v>0</v>
      </c>
      <c r="Q47" t="str">
        <f t="shared" si="3"/>
        <v>Correct</v>
      </c>
    </row>
    <row r="48" spans="1:17" x14ac:dyDescent="0.3">
      <c r="A48" t="s">
        <v>69</v>
      </c>
      <c r="B48" s="2">
        <v>46262</v>
      </c>
      <c r="C48" s="3">
        <v>2.98</v>
      </c>
      <c r="D48" s="3">
        <v>10.039999999999999</v>
      </c>
      <c r="E48" s="3">
        <v>6.11</v>
      </c>
      <c r="F48" s="4">
        <v>1</v>
      </c>
      <c r="G48" s="5">
        <v>5182.74</v>
      </c>
      <c r="H48" t="s">
        <v>24</v>
      </c>
      <c r="I48" t="s">
        <v>17</v>
      </c>
      <c r="J48" t="s">
        <v>18</v>
      </c>
      <c r="L48" s="3">
        <f t="shared" si="4"/>
        <v>19.13</v>
      </c>
      <c r="M48" s="3">
        <f t="shared" si="5"/>
        <v>19.13</v>
      </c>
      <c r="N48" t="b">
        <f t="shared" si="0"/>
        <v>0</v>
      </c>
      <c r="O48">
        <f t="shared" si="1"/>
        <v>1</v>
      </c>
      <c r="P48" s="3">
        <f t="shared" si="2"/>
        <v>0</v>
      </c>
      <c r="Q48" t="str">
        <f t="shared" si="3"/>
        <v>Correct</v>
      </c>
    </row>
    <row r="49" spans="1:17" x14ac:dyDescent="0.3">
      <c r="A49" t="s">
        <v>70</v>
      </c>
      <c r="B49" s="2">
        <v>46266</v>
      </c>
      <c r="C49" s="3">
        <v>4.13</v>
      </c>
      <c r="D49" s="3">
        <v>7.14</v>
      </c>
      <c r="E49" s="3">
        <v>2.76</v>
      </c>
      <c r="F49" s="4">
        <v>0</v>
      </c>
      <c r="G49" s="5">
        <v>6453.11</v>
      </c>
      <c r="H49" t="s">
        <v>24</v>
      </c>
      <c r="I49" t="s">
        <v>17</v>
      </c>
      <c r="J49" t="s">
        <v>18</v>
      </c>
      <c r="L49" s="3">
        <f t="shared" si="4"/>
        <v>14.03</v>
      </c>
      <c r="M49" s="3">
        <f t="shared" si="5"/>
        <v>14.03</v>
      </c>
      <c r="N49" t="b">
        <f t="shared" si="0"/>
        <v>0</v>
      </c>
      <c r="O49">
        <f t="shared" si="1"/>
        <v>1</v>
      </c>
      <c r="P49" s="3">
        <f t="shared" si="2"/>
        <v>0</v>
      </c>
      <c r="Q49" t="str">
        <f t="shared" si="3"/>
        <v>Correct</v>
      </c>
    </row>
    <row r="50" spans="1:17" x14ac:dyDescent="0.3">
      <c r="A50" t="s">
        <v>71</v>
      </c>
      <c r="B50" s="2">
        <v>46280</v>
      </c>
      <c r="C50" s="3">
        <v>2.39</v>
      </c>
      <c r="D50" s="3">
        <v>9.39</v>
      </c>
      <c r="E50" s="3">
        <v>2.61</v>
      </c>
      <c r="F50" s="4">
        <v>0</v>
      </c>
      <c r="G50" s="5">
        <v>56256.56</v>
      </c>
      <c r="H50" t="s">
        <v>13</v>
      </c>
      <c r="I50" t="s">
        <v>14</v>
      </c>
      <c r="J50" t="s">
        <v>18</v>
      </c>
      <c r="L50" s="3">
        <f t="shared" si="4"/>
        <v>14.39</v>
      </c>
      <c r="M50" s="3">
        <f t="shared" si="5"/>
        <v>14.39</v>
      </c>
      <c r="N50" t="b">
        <f t="shared" si="0"/>
        <v>0</v>
      </c>
      <c r="O50">
        <f t="shared" si="1"/>
        <v>1</v>
      </c>
      <c r="P50" s="3">
        <f t="shared" si="2"/>
        <v>0</v>
      </c>
      <c r="Q50" t="str">
        <f t="shared" si="3"/>
        <v>Correct</v>
      </c>
    </row>
    <row r="51" spans="1:17" x14ac:dyDescent="0.3">
      <c r="A51" t="s">
        <v>72</v>
      </c>
      <c r="B51" s="2">
        <v>46274</v>
      </c>
      <c r="C51" s="3">
        <v>1.32</v>
      </c>
      <c r="D51" s="3">
        <v>2.29</v>
      </c>
      <c r="E51" s="3">
        <v>5.13</v>
      </c>
      <c r="F51" s="4">
        <v>1</v>
      </c>
      <c r="G51" s="5">
        <v>5533.44</v>
      </c>
      <c r="H51" t="s">
        <v>24</v>
      </c>
      <c r="I51" t="s">
        <v>26</v>
      </c>
      <c r="J51" t="s">
        <v>18</v>
      </c>
      <c r="L51" s="3">
        <f t="shared" si="4"/>
        <v>8.74</v>
      </c>
      <c r="M51" s="3">
        <f t="shared" si="5"/>
        <v>8.74</v>
      </c>
      <c r="N51" t="b">
        <f t="shared" si="0"/>
        <v>0</v>
      </c>
      <c r="O51">
        <f t="shared" si="1"/>
        <v>1</v>
      </c>
      <c r="P51" s="3">
        <f t="shared" si="2"/>
        <v>0</v>
      </c>
      <c r="Q51" t="str">
        <f t="shared" si="3"/>
        <v>Correct</v>
      </c>
    </row>
    <row r="52" spans="1:17" x14ac:dyDescent="0.3">
      <c r="A52" t="s">
        <v>73</v>
      </c>
      <c r="B52" s="2">
        <v>46245</v>
      </c>
      <c r="C52" s="3">
        <v>6.54</v>
      </c>
      <c r="D52" s="3">
        <v>6.59</v>
      </c>
      <c r="E52" s="3">
        <v>1.69</v>
      </c>
      <c r="F52" s="4">
        <v>1</v>
      </c>
      <c r="G52" s="5">
        <v>5549.49</v>
      </c>
      <c r="H52" t="s">
        <v>24</v>
      </c>
      <c r="I52" t="s">
        <v>26</v>
      </c>
      <c r="J52" t="s">
        <v>18</v>
      </c>
      <c r="L52" s="3">
        <f t="shared" si="4"/>
        <v>14.819999999999999</v>
      </c>
      <c r="M52" s="3">
        <f t="shared" si="5"/>
        <v>14.819999999999999</v>
      </c>
      <c r="N52" t="b">
        <f t="shared" si="0"/>
        <v>0</v>
      </c>
      <c r="O52">
        <f t="shared" si="1"/>
        <v>1</v>
      </c>
      <c r="P52" s="3">
        <f t="shared" si="2"/>
        <v>0</v>
      </c>
      <c r="Q52" t="str">
        <f t="shared" si="3"/>
        <v>Correct</v>
      </c>
    </row>
    <row r="53" spans="1:17" x14ac:dyDescent="0.3">
      <c r="A53" t="s">
        <v>74</v>
      </c>
      <c r="B53" s="2">
        <v>46253</v>
      </c>
      <c r="C53" s="3">
        <v>2.27</v>
      </c>
      <c r="D53" s="3">
        <v>3.09</v>
      </c>
      <c r="E53" s="3">
        <v>1.44</v>
      </c>
      <c r="F53" s="4">
        <v>0</v>
      </c>
      <c r="G53" s="5">
        <v>9142.08</v>
      </c>
      <c r="H53" t="s">
        <v>24</v>
      </c>
      <c r="I53" t="s">
        <v>26</v>
      </c>
      <c r="J53" t="s">
        <v>18</v>
      </c>
      <c r="L53" s="3">
        <f t="shared" si="4"/>
        <v>6.7999999999999989</v>
      </c>
      <c r="M53" s="3">
        <f t="shared" si="5"/>
        <v>6.7999999999999989</v>
      </c>
      <c r="N53" t="b">
        <f t="shared" si="0"/>
        <v>0</v>
      </c>
      <c r="O53">
        <f t="shared" si="1"/>
        <v>1</v>
      </c>
      <c r="P53" s="3">
        <f t="shared" si="2"/>
        <v>0</v>
      </c>
      <c r="Q53" t="str">
        <f t="shared" si="3"/>
        <v>Correct</v>
      </c>
    </row>
    <row r="54" spans="1:17" x14ac:dyDescent="0.3">
      <c r="A54" t="s">
        <v>75</v>
      </c>
      <c r="B54" s="2">
        <v>46256</v>
      </c>
      <c r="C54" s="3">
        <v>3.61</v>
      </c>
      <c r="D54" s="3">
        <v>6.61</v>
      </c>
      <c r="E54" s="3">
        <v>2.11</v>
      </c>
      <c r="F54" s="4">
        <v>1</v>
      </c>
      <c r="G54" s="5">
        <v>5068.5200000000004</v>
      </c>
      <c r="H54" t="s">
        <v>24</v>
      </c>
      <c r="I54" t="s">
        <v>20</v>
      </c>
      <c r="J54" t="s">
        <v>18</v>
      </c>
      <c r="L54" s="3">
        <f t="shared" si="4"/>
        <v>12.33</v>
      </c>
      <c r="M54" s="3">
        <f t="shared" si="5"/>
        <v>12.33</v>
      </c>
      <c r="N54" t="b">
        <f t="shared" si="0"/>
        <v>0</v>
      </c>
      <c r="O54">
        <f t="shared" si="1"/>
        <v>1</v>
      </c>
      <c r="P54" s="3">
        <f t="shared" si="2"/>
        <v>0</v>
      </c>
      <c r="Q54" t="str">
        <f t="shared" si="3"/>
        <v>Correct</v>
      </c>
    </row>
    <row r="55" spans="1:17" x14ac:dyDescent="0.3">
      <c r="A55" t="s">
        <v>76</v>
      </c>
      <c r="B55" s="2">
        <v>46291</v>
      </c>
      <c r="C55" s="3">
        <v>0.25</v>
      </c>
      <c r="D55" s="3">
        <v>6.47</v>
      </c>
      <c r="E55" s="3">
        <v>1.17</v>
      </c>
      <c r="F55" s="4">
        <v>0</v>
      </c>
      <c r="G55" s="5">
        <v>52268.27</v>
      </c>
      <c r="H55" t="s">
        <v>13</v>
      </c>
      <c r="I55" t="s">
        <v>14</v>
      </c>
      <c r="J55" t="s">
        <v>18</v>
      </c>
      <c r="L55" s="3">
        <f t="shared" si="4"/>
        <v>7.89</v>
      </c>
      <c r="M55" s="3">
        <f t="shared" si="5"/>
        <v>7.89</v>
      </c>
      <c r="N55" t="b">
        <f t="shared" si="0"/>
        <v>0</v>
      </c>
      <c r="O55">
        <f t="shared" si="1"/>
        <v>1</v>
      </c>
      <c r="P55" s="3">
        <f t="shared" si="2"/>
        <v>0</v>
      </c>
      <c r="Q55" t="str">
        <f t="shared" si="3"/>
        <v>Correct</v>
      </c>
    </row>
    <row r="56" spans="1:17" x14ac:dyDescent="0.3">
      <c r="A56" t="s">
        <v>77</v>
      </c>
      <c r="B56" s="2">
        <v>46277</v>
      </c>
      <c r="C56" s="3">
        <v>0.25</v>
      </c>
      <c r="D56" s="3">
        <v>4.1100000000000003</v>
      </c>
      <c r="E56" s="3">
        <v>7.19</v>
      </c>
      <c r="F56" s="4">
        <v>1</v>
      </c>
      <c r="G56" s="5">
        <v>5974.38</v>
      </c>
      <c r="H56" t="s">
        <v>24</v>
      </c>
      <c r="I56" t="s">
        <v>14</v>
      </c>
      <c r="J56" t="s">
        <v>18</v>
      </c>
      <c r="L56" s="3">
        <f t="shared" si="4"/>
        <v>11.55</v>
      </c>
      <c r="M56" s="3">
        <f t="shared" si="5"/>
        <v>11.55</v>
      </c>
      <c r="N56" t="b">
        <f t="shared" si="0"/>
        <v>0</v>
      </c>
      <c r="O56">
        <f t="shared" si="1"/>
        <v>1</v>
      </c>
      <c r="P56" s="3">
        <f t="shared" si="2"/>
        <v>0</v>
      </c>
      <c r="Q56" t="str">
        <f t="shared" si="3"/>
        <v>Correct</v>
      </c>
    </row>
    <row r="57" spans="1:17" x14ac:dyDescent="0.3">
      <c r="A57" t="s">
        <v>78</v>
      </c>
      <c r="B57" s="2">
        <v>46256</v>
      </c>
      <c r="C57" s="3">
        <v>1.9</v>
      </c>
      <c r="D57" s="3">
        <v>3.22</v>
      </c>
      <c r="E57" s="3">
        <v>4.0199999999999996</v>
      </c>
      <c r="F57" s="4">
        <v>0</v>
      </c>
      <c r="G57" s="5">
        <v>46409.66</v>
      </c>
      <c r="H57" t="s">
        <v>24</v>
      </c>
      <c r="I57" t="s">
        <v>20</v>
      </c>
      <c r="J57" t="s">
        <v>18</v>
      </c>
      <c r="L57" s="3">
        <f t="shared" si="4"/>
        <v>9.14</v>
      </c>
      <c r="M57" s="3">
        <f t="shared" si="5"/>
        <v>9.14</v>
      </c>
      <c r="N57" t="b">
        <f t="shared" si="0"/>
        <v>0</v>
      </c>
      <c r="O57">
        <f t="shared" si="1"/>
        <v>1</v>
      </c>
      <c r="P57" s="3">
        <f t="shared" si="2"/>
        <v>0</v>
      </c>
      <c r="Q57" t="str">
        <f t="shared" si="3"/>
        <v>Correct</v>
      </c>
    </row>
    <row r="58" spans="1:17" x14ac:dyDescent="0.3">
      <c r="A58" t="s">
        <v>79</v>
      </c>
      <c r="B58" s="2">
        <v>46279</v>
      </c>
      <c r="C58" s="3">
        <v>0.75</v>
      </c>
      <c r="D58" s="3">
        <v>6.31</v>
      </c>
      <c r="E58" s="3">
        <v>8.5500000000000007</v>
      </c>
      <c r="F58" s="4">
        <v>0</v>
      </c>
      <c r="G58" s="5">
        <v>7721.3</v>
      </c>
      <c r="H58" t="s">
        <v>24</v>
      </c>
      <c r="I58" t="s">
        <v>17</v>
      </c>
      <c r="J58" t="s">
        <v>18</v>
      </c>
      <c r="L58" s="3">
        <f t="shared" si="4"/>
        <v>15.61</v>
      </c>
      <c r="M58" s="3">
        <f t="shared" si="5"/>
        <v>15.61</v>
      </c>
      <c r="N58" t="b">
        <f t="shared" si="0"/>
        <v>0</v>
      </c>
      <c r="O58">
        <f t="shared" si="1"/>
        <v>1</v>
      </c>
      <c r="P58" s="3">
        <f t="shared" si="2"/>
        <v>0</v>
      </c>
      <c r="Q58" t="str">
        <f t="shared" si="3"/>
        <v>Correct</v>
      </c>
    </row>
    <row r="59" spans="1:17" x14ac:dyDescent="0.3">
      <c r="A59" t="s">
        <v>80</v>
      </c>
      <c r="B59" s="2">
        <v>46279</v>
      </c>
      <c r="C59" s="3">
        <v>2.0299999999999998</v>
      </c>
      <c r="D59" s="3">
        <v>2.89</v>
      </c>
      <c r="E59" s="3">
        <v>7.23</v>
      </c>
      <c r="F59" s="4">
        <v>0</v>
      </c>
      <c r="G59" s="5">
        <v>10297.02</v>
      </c>
      <c r="H59" t="s">
        <v>24</v>
      </c>
      <c r="I59" t="s">
        <v>14</v>
      </c>
      <c r="J59" t="s">
        <v>18</v>
      </c>
      <c r="L59" s="3">
        <f t="shared" si="4"/>
        <v>12.15</v>
      </c>
      <c r="M59" s="3">
        <f t="shared" si="5"/>
        <v>12.15</v>
      </c>
      <c r="N59" t="b">
        <f t="shared" si="0"/>
        <v>0</v>
      </c>
      <c r="O59">
        <f t="shared" si="1"/>
        <v>1</v>
      </c>
      <c r="P59" s="3">
        <f t="shared" si="2"/>
        <v>0</v>
      </c>
      <c r="Q59" t="str">
        <f t="shared" si="3"/>
        <v>Correct</v>
      </c>
    </row>
    <row r="60" spans="1:17" x14ac:dyDescent="0.3">
      <c r="A60" t="s">
        <v>81</v>
      </c>
      <c r="B60" s="2">
        <v>46258</v>
      </c>
      <c r="C60" s="3">
        <v>1.1100000000000001</v>
      </c>
      <c r="D60" s="3">
        <v>3.17</v>
      </c>
      <c r="E60" s="3">
        <v>6.57</v>
      </c>
      <c r="F60" s="4">
        <v>1</v>
      </c>
      <c r="G60" s="5">
        <v>4854.0200000000004</v>
      </c>
      <c r="H60" t="s">
        <v>24</v>
      </c>
      <c r="I60" t="s">
        <v>26</v>
      </c>
      <c r="J60" t="s">
        <v>18</v>
      </c>
      <c r="L60" s="3">
        <f t="shared" si="4"/>
        <v>10.850000000000001</v>
      </c>
      <c r="M60" s="3">
        <f t="shared" si="5"/>
        <v>10.850000000000001</v>
      </c>
      <c r="N60" t="b">
        <f t="shared" si="0"/>
        <v>0</v>
      </c>
      <c r="O60">
        <f t="shared" si="1"/>
        <v>1</v>
      </c>
      <c r="P60" s="3">
        <f t="shared" si="2"/>
        <v>0</v>
      </c>
      <c r="Q60" t="str">
        <f t="shared" si="3"/>
        <v>Correct</v>
      </c>
    </row>
    <row r="61" spans="1:17" x14ac:dyDescent="0.3">
      <c r="A61" t="s">
        <v>82</v>
      </c>
      <c r="B61" s="2">
        <v>46259</v>
      </c>
      <c r="C61" s="3">
        <v>8.4</v>
      </c>
      <c r="D61" s="3">
        <v>5.49</v>
      </c>
      <c r="E61" s="3">
        <v>5.08</v>
      </c>
      <c r="F61" s="4">
        <v>1</v>
      </c>
      <c r="G61" s="5">
        <v>25294.71</v>
      </c>
      <c r="H61" t="s">
        <v>24</v>
      </c>
      <c r="I61" t="s">
        <v>26</v>
      </c>
      <c r="J61" t="s">
        <v>15</v>
      </c>
      <c r="L61" s="3">
        <f t="shared" si="4"/>
        <v>18.97</v>
      </c>
      <c r="M61" s="3">
        <f t="shared" si="5"/>
        <v>18.97</v>
      </c>
      <c r="N61" t="b">
        <f t="shared" si="0"/>
        <v>0</v>
      </c>
      <c r="O61">
        <f t="shared" si="1"/>
        <v>1</v>
      </c>
      <c r="P61" s="3">
        <f t="shared" si="2"/>
        <v>0</v>
      </c>
      <c r="Q61" t="str">
        <f t="shared" si="3"/>
        <v>Correct</v>
      </c>
    </row>
    <row r="62" spans="1:17" x14ac:dyDescent="0.3">
      <c r="A62" t="s">
        <v>83</v>
      </c>
      <c r="B62" s="2">
        <v>46288</v>
      </c>
      <c r="C62" s="3">
        <v>3.42</v>
      </c>
      <c r="D62" s="3">
        <v>0.86</v>
      </c>
      <c r="E62" s="3">
        <v>4.01</v>
      </c>
      <c r="F62" s="4">
        <v>4</v>
      </c>
      <c r="G62" s="5">
        <v>18319.57</v>
      </c>
      <c r="H62" t="s">
        <v>24</v>
      </c>
      <c r="I62" t="s">
        <v>14</v>
      </c>
      <c r="J62" t="s">
        <v>18</v>
      </c>
      <c r="L62" s="3">
        <f t="shared" si="4"/>
        <v>8.2899999999999991</v>
      </c>
      <c r="M62" s="3">
        <f t="shared" si="5"/>
        <v>8.2899999999999991</v>
      </c>
      <c r="N62" t="b">
        <f t="shared" si="0"/>
        <v>0</v>
      </c>
      <c r="O62">
        <f t="shared" si="1"/>
        <v>1</v>
      </c>
      <c r="P62" s="3">
        <f t="shared" si="2"/>
        <v>0</v>
      </c>
      <c r="Q62" t="str">
        <f t="shared" si="3"/>
        <v>Correct</v>
      </c>
    </row>
    <row r="63" spans="1:17" x14ac:dyDescent="0.3">
      <c r="A63" t="s">
        <v>84</v>
      </c>
      <c r="B63" s="2">
        <v>46268</v>
      </c>
      <c r="C63" s="3">
        <v>4.4000000000000004</v>
      </c>
      <c r="D63" s="3">
        <v>10.8</v>
      </c>
      <c r="E63" s="3">
        <v>0.28000000000000003</v>
      </c>
      <c r="F63" s="4">
        <v>0</v>
      </c>
      <c r="G63" s="5">
        <v>11652.82</v>
      </c>
      <c r="H63" t="s">
        <v>24</v>
      </c>
      <c r="I63" t="s">
        <v>17</v>
      </c>
      <c r="J63" t="s">
        <v>18</v>
      </c>
      <c r="L63" s="3">
        <f t="shared" si="4"/>
        <v>15.48</v>
      </c>
      <c r="M63" s="3">
        <f t="shared" si="5"/>
        <v>15.48</v>
      </c>
      <c r="N63" t="b">
        <f t="shared" si="0"/>
        <v>0</v>
      </c>
      <c r="O63">
        <f t="shared" si="1"/>
        <v>1</v>
      </c>
      <c r="P63" s="3">
        <f t="shared" si="2"/>
        <v>0</v>
      </c>
      <c r="Q63" t="str">
        <f t="shared" si="3"/>
        <v>Correct</v>
      </c>
    </row>
    <row r="64" spans="1:17" x14ac:dyDescent="0.3">
      <c r="A64" t="s">
        <v>85</v>
      </c>
      <c r="B64" s="2">
        <v>46243</v>
      </c>
      <c r="C64" s="3">
        <v>0.25</v>
      </c>
      <c r="D64" s="3">
        <v>8.94</v>
      </c>
      <c r="E64" s="3">
        <v>2.5</v>
      </c>
      <c r="F64" s="4">
        <v>0</v>
      </c>
      <c r="G64" s="5">
        <v>26111.67</v>
      </c>
      <c r="H64" t="s">
        <v>13</v>
      </c>
      <c r="I64" t="s">
        <v>14</v>
      </c>
      <c r="J64" t="s">
        <v>18</v>
      </c>
      <c r="L64" s="3">
        <f t="shared" si="4"/>
        <v>11.69</v>
      </c>
      <c r="M64" s="3">
        <f t="shared" si="5"/>
        <v>11.69</v>
      </c>
      <c r="N64" t="b">
        <f t="shared" si="0"/>
        <v>0</v>
      </c>
      <c r="O64">
        <f t="shared" si="1"/>
        <v>1</v>
      </c>
      <c r="P64" s="3">
        <f t="shared" si="2"/>
        <v>0</v>
      </c>
      <c r="Q64" t="str">
        <f t="shared" si="3"/>
        <v>Correct</v>
      </c>
    </row>
    <row r="65" spans="1:17" x14ac:dyDescent="0.3">
      <c r="A65" t="s">
        <v>86</v>
      </c>
      <c r="B65" s="2">
        <v>46278</v>
      </c>
      <c r="C65" s="3">
        <v>2.95</v>
      </c>
      <c r="D65" s="3">
        <v>3.29</v>
      </c>
      <c r="E65" s="3">
        <v>3.97</v>
      </c>
      <c r="F65" s="4">
        <v>1</v>
      </c>
      <c r="G65" s="5">
        <v>11112.95</v>
      </c>
      <c r="H65" t="s">
        <v>24</v>
      </c>
      <c r="I65" t="s">
        <v>14</v>
      </c>
      <c r="J65" t="s">
        <v>18</v>
      </c>
      <c r="L65" s="3">
        <f t="shared" si="4"/>
        <v>10.210000000000001</v>
      </c>
      <c r="M65" s="3">
        <f t="shared" si="5"/>
        <v>10.210000000000001</v>
      </c>
      <c r="N65" t="b">
        <f t="shared" si="0"/>
        <v>0</v>
      </c>
      <c r="O65">
        <f t="shared" si="1"/>
        <v>1</v>
      </c>
      <c r="P65" s="3">
        <f t="shared" si="2"/>
        <v>0</v>
      </c>
      <c r="Q65" t="str">
        <f t="shared" si="3"/>
        <v>Correct</v>
      </c>
    </row>
    <row r="66" spans="1:17" x14ac:dyDescent="0.3">
      <c r="A66" t="s">
        <v>87</v>
      </c>
      <c r="B66" s="2">
        <v>46270</v>
      </c>
      <c r="C66" s="3">
        <v>1.45</v>
      </c>
      <c r="D66" s="3">
        <v>4.45</v>
      </c>
      <c r="E66" s="3">
        <v>1.9</v>
      </c>
      <c r="F66" s="4">
        <v>1</v>
      </c>
      <c r="G66" s="5">
        <v>5341.24</v>
      </c>
      <c r="H66" t="s">
        <v>24</v>
      </c>
      <c r="I66" t="s">
        <v>14</v>
      </c>
      <c r="J66" t="s">
        <v>18</v>
      </c>
      <c r="L66" s="3">
        <f t="shared" si="4"/>
        <v>7.8000000000000007</v>
      </c>
      <c r="M66" s="3">
        <f t="shared" ref="M66:M129" si="6">SUM(C66:E66)</f>
        <v>7.8000000000000007</v>
      </c>
      <c r="N66" t="b">
        <f t="shared" ref="N66:N129" si="7">COUNTIF(A:A,A66)&gt;1</f>
        <v>0</v>
      </c>
      <c r="O66">
        <f t="shared" ref="O66:O129" si="8">COUNTBLANK(A66:L66)</f>
        <v>1</v>
      </c>
      <c r="P66" s="3">
        <f t="shared" ref="P66:P129" si="9">COUNTBLANK(A66:J66)+COUNTBLANK(L66)</f>
        <v>0</v>
      </c>
      <c r="Q66" t="str">
        <f t="shared" ref="Q66:Q129" si="10">IF(L66=M66,"Correct","Mismatch")</f>
        <v>Correct</v>
      </c>
    </row>
    <row r="67" spans="1:17" x14ac:dyDescent="0.3">
      <c r="A67" t="s">
        <v>88</v>
      </c>
      <c r="B67" s="2">
        <v>46265</v>
      </c>
      <c r="C67" s="3">
        <v>4.46</v>
      </c>
      <c r="D67" s="3">
        <v>1.83</v>
      </c>
      <c r="E67" s="3">
        <v>4.1500000000000004</v>
      </c>
      <c r="F67" s="4">
        <v>2</v>
      </c>
      <c r="G67" s="5">
        <v>22121.279999999999</v>
      </c>
      <c r="H67" t="s">
        <v>24</v>
      </c>
      <c r="I67" t="s">
        <v>14</v>
      </c>
      <c r="J67" t="s">
        <v>18</v>
      </c>
      <c r="L67" s="3">
        <f t="shared" ref="L67:L130" si="11">SUM(C67:E67)</f>
        <v>10.440000000000001</v>
      </c>
      <c r="M67" s="3">
        <f t="shared" si="6"/>
        <v>10.440000000000001</v>
      </c>
      <c r="N67" t="b">
        <f t="shared" si="7"/>
        <v>0</v>
      </c>
      <c r="O67">
        <f t="shared" si="8"/>
        <v>1</v>
      </c>
      <c r="P67" s="3">
        <f t="shared" si="9"/>
        <v>0</v>
      </c>
      <c r="Q67" t="str">
        <f t="shared" si="10"/>
        <v>Correct</v>
      </c>
    </row>
    <row r="68" spans="1:17" x14ac:dyDescent="0.3">
      <c r="A68" t="s">
        <v>89</v>
      </c>
      <c r="B68" s="2">
        <v>46278</v>
      </c>
      <c r="C68" s="3">
        <v>2.66</v>
      </c>
      <c r="D68" s="3">
        <v>7.09</v>
      </c>
      <c r="E68" s="3">
        <v>3.04</v>
      </c>
      <c r="F68" s="4">
        <v>1</v>
      </c>
      <c r="G68" s="5">
        <v>70016.78</v>
      </c>
      <c r="H68" t="s">
        <v>13</v>
      </c>
      <c r="I68" t="s">
        <v>14</v>
      </c>
      <c r="J68" t="s">
        <v>18</v>
      </c>
      <c r="L68" s="3">
        <f t="shared" si="11"/>
        <v>12.79</v>
      </c>
      <c r="M68" s="3">
        <f t="shared" si="6"/>
        <v>12.79</v>
      </c>
      <c r="N68" t="b">
        <f t="shared" si="7"/>
        <v>0</v>
      </c>
      <c r="O68">
        <f t="shared" si="8"/>
        <v>1</v>
      </c>
      <c r="P68" s="3">
        <f t="shared" si="9"/>
        <v>0</v>
      </c>
      <c r="Q68" t="str">
        <f t="shared" si="10"/>
        <v>Correct</v>
      </c>
    </row>
    <row r="69" spans="1:17" x14ac:dyDescent="0.3">
      <c r="A69" t="s">
        <v>90</v>
      </c>
      <c r="B69" s="2">
        <v>46289</v>
      </c>
      <c r="C69" s="3">
        <v>1.62</v>
      </c>
      <c r="D69" s="3">
        <v>3.35</v>
      </c>
      <c r="E69" s="3">
        <v>2.85</v>
      </c>
      <c r="F69" s="4">
        <v>0</v>
      </c>
      <c r="G69" s="5">
        <v>10430.52</v>
      </c>
      <c r="H69" t="s">
        <v>24</v>
      </c>
      <c r="I69" t="s">
        <v>17</v>
      </c>
      <c r="J69" t="s">
        <v>18</v>
      </c>
      <c r="L69" s="3">
        <f t="shared" si="11"/>
        <v>7.82</v>
      </c>
      <c r="M69" s="3">
        <f t="shared" si="6"/>
        <v>7.82</v>
      </c>
      <c r="N69" t="b">
        <f t="shared" si="7"/>
        <v>0</v>
      </c>
      <c r="O69">
        <f t="shared" si="8"/>
        <v>1</v>
      </c>
      <c r="P69" s="3">
        <f t="shared" si="9"/>
        <v>0</v>
      </c>
      <c r="Q69" t="str">
        <f t="shared" si="10"/>
        <v>Correct</v>
      </c>
    </row>
    <row r="70" spans="1:17" x14ac:dyDescent="0.3">
      <c r="A70" t="s">
        <v>91</v>
      </c>
      <c r="B70" s="2">
        <v>46254</v>
      </c>
      <c r="C70" s="3">
        <v>0.56000000000000005</v>
      </c>
      <c r="D70" s="3">
        <v>0.25</v>
      </c>
      <c r="E70" s="3">
        <v>2.63</v>
      </c>
      <c r="F70" s="4">
        <v>2</v>
      </c>
      <c r="G70" s="5">
        <v>2591.5</v>
      </c>
      <c r="H70" t="s">
        <v>24</v>
      </c>
      <c r="I70" t="s">
        <v>26</v>
      </c>
      <c r="J70" t="s">
        <v>18</v>
      </c>
      <c r="L70" s="3">
        <f t="shared" si="11"/>
        <v>3.44</v>
      </c>
      <c r="M70" s="3">
        <f t="shared" si="6"/>
        <v>3.44</v>
      </c>
      <c r="N70" t="b">
        <f t="shared" si="7"/>
        <v>0</v>
      </c>
      <c r="O70">
        <f t="shared" si="8"/>
        <v>1</v>
      </c>
      <c r="P70" s="3">
        <f t="shared" si="9"/>
        <v>0</v>
      </c>
      <c r="Q70" t="str">
        <f t="shared" si="10"/>
        <v>Correct</v>
      </c>
    </row>
    <row r="71" spans="1:17" x14ac:dyDescent="0.3">
      <c r="A71" t="s">
        <v>92</v>
      </c>
      <c r="B71" s="2">
        <v>46260</v>
      </c>
      <c r="C71" s="3">
        <v>1.87</v>
      </c>
      <c r="D71" s="3">
        <v>14.45</v>
      </c>
      <c r="E71" s="3">
        <v>5.63</v>
      </c>
      <c r="F71" s="4">
        <v>1</v>
      </c>
      <c r="G71" s="5">
        <v>5762.47</v>
      </c>
      <c r="H71" t="s">
        <v>24</v>
      </c>
      <c r="I71" t="s">
        <v>17</v>
      </c>
      <c r="J71" t="s">
        <v>18</v>
      </c>
      <c r="L71" s="3">
        <f t="shared" si="11"/>
        <v>21.95</v>
      </c>
      <c r="M71" s="3">
        <f t="shared" si="6"/>
        <v>21.95</v>
      </c>
      <c r="N71" t="b">
        <f t="shared" si="7"/>
        <v>0</v>
      </c>
      <c r="O71">
        <f t="shared" si="8"/>
        <v>1</v>
      </c>
      <c r="P71" s="3">
        <f t="shared" si="9"/>
        <v>0</v>
      </c>
      <c r="Q71" t="str">
        <f t="shared" si="10"/>
        <v>Correct</v>
      </c>
    </row>
    <row r="72" spans="1:17" x14ac:dyDescent="0.3">
      <c r="A72" t="s">
        <v>93</v>
      </c>
      <c r="B72" s="2">
        <v>46246</v>
      </c>
      <c r="C72" s="3">
        <v>3.77</v>
      </c>
      <c r="D72" s="3">
        <v>1.66</v>
      </c>
      <c r="E72" s="3">
        <v>3.29</v>
      </c>
      <c r="F72" s="4">
        <v>1</v>
      </c>
      <c r="G72" s="5">
        <v>14447.38</v>
      </c>
      <c r="H72" t="s">
        <v>24</v>
      </c>
      <c r="I72" t="s">
        <v>26</v>
      </c>
      <c r="J72" t="s">
        <v>18</v>
      </c>
      <c r="L72" s="3">
        <f t="shared" si="11"/>
        <v>8.7199999999999989</v>
      </c>
      <c r="M72" s="3">
        <f t="shared" si="6"/>
        <v>8.7199999999999989</v>
      </c>
      <c r="N72" t="b">
        <f t="shared" si="7"/>
        <v>0</v>
      </c>
      <c r="O72">
        <f t="shared" si="8"/>
        <v>1</v>
      </c>
      <c r="P72" s="3">
        <f t="shared" si="9"/>
        <v>0</v>
      </c>
      <c r="Q72" t="str">
        <f t="shared" si="10"/>
        <v>Correct</v>
      </c>
    </row>
    <row r="73" spans="1:17" x14ac:dyDescent="0.3">
      <c r="A73" t="s">
        <v>94</v>
      </c>
      <c r="B73" s="2">
        <v>46273</v>
      </c>
      <c r="C73" s="3">
        <v>4.63</v>
      </c>
      <c r="D73" s="3">
        <v>8.3800000000000008</v>
      </c>
      <c r="E73" s="3">
        <v>3.46</v>
      </c>
      <c r="F73" s="4">
        <v>0</v>
      </c>
      <c r="G73" s="5">
        <v>41678.699999999997</v>
      </c>
      <c r="H73" t="s">
        <v>13</v>
      </c>
      <c r="I73" t="s">
        <v>17</v>
      </c>
      <c r="J73" t="s">
        <v>18</v>
      </c>
      <c r="L73" s="3">
        <f t="shared" si="11"/>
        <v>16.470000000000002</v>
      </c>
      <c r="M73" s="3">
        <f t="shared" si="6"/>
        <v>16.470000000000002</v>
      </c>
      <c r="N73" t="b">
        <f t="shared" si="7"/>
        <v>0</v>
      </c>
      <c r="O73">
        <f t="shared" si="8"/>
        <v>1</v>
      </c>
      <c r="P73" s="3">
        <f t="shared" si="9"/>
        <v>0</v>
      </c>
      <c r="Q73" t="str">
        <f t="shared" si="10"/>
        <v>Correct</v>
      </c>
    </row>
    <row r="74" spans="1:17" x14ac:dyDescent="0.3">
      <c r="A74" t="s">
        <v>95</v>
      </c>
      <c r="B74" s="2">
        <v>46259</v>
      </c>
      <c r="C74" s="3">
        <v>1.25</v>
      </c>
      <c r="D74" s="3">
        <v>4.57</v>
      </c>
      <c r="E74" s="3">
        <v>1.97</v>
      </c>
      <c r="F74" s="4">
        <v>0</v>
      </c>
      <c r="G74" s="5">
        <v>18215.78</v>
      </c>
      <c r="H74" t="s">
        <v>24</v>
      </c>
      <c r="I74" t="s">
        <v>20</v>
      </c>
      <c r="J74" t="s">
        <v>21</v>
      </c>
      <c r="K74" t="s">
        <v>22</v>
      </c>
      <c r="L74" s="3">
        <f t="shared" si="11"/>
        <v>7.79</v>
      </c>
      <c r="M74" s="3">
        <f t="shared" si="6"/>
        <v>7.79</v>
      </c>
      <c r="N74" t="b">
        <f t="shared" si="7"/>
        <v>0</v>
      </c>
      <c r="O74">
        <f t="shared" si="8"/>
        <v>0</v>
      </c>
      <c r="P74" s="3">
        <f t="shared" si="9"/>
        <v>0</v>
      </c>
      <c r="Q74" t="str">
        <f t="shared" si="10"/>
        <v>Correct</v>
      </c>
    </row>
    <row r="75" spans="1:17" x14ac:dyDescent="0.3">
      <c r="A75" t="s">
        <v>96</v>
      </c>
      <c r="B75" s="2">
        <v>46255</v>
      </c>
      <c r="C75" s="3">
        <v>7.54</v>
      </c>
      <c r="D75" s="3">
        <v>7.4</v>
      </c>
      <c r="E75" s="3">
        <v>0.25</v>
      </c>
      <c r="F75" s="4">
        <v>0</v>
      </c>
      <c r="G75" s="5">
        <v>35854.400000000001</v>
      </c>
      <c r="H75" t="s">
        <v>13</v>
      </c>
      <c r="I75" t="s">
        <v>26</v>
      </c>
      <c r="J75" t="s">
        <v>18</v>
      </c>
      <c r="L75" s="3">
        <f t="shared" si="11"/>
        <v>15.190000000000001</v>
      </c>
      <c r="M75" s="3">
        <f t="shared" si="6"/>
        <v>15.190000000000001</v>
      </c>
      <c r="N75" t="b">
        <f t="shared" si="7"/>
        <v>0</v>
      </c>
      <c r="O75">
        <f t="shared" si="8"/>
        <v>1</v>
      </c>
      <c r="P75" s="3">
        <f t="shared" si="9"/>
        <v>0</v>
      </c>
      <c r="Q75" t="str">
        <f t="shared" si="10"/>
        <v>Correct</v>
      </c>
    </row>
    <row r="76" spans="1:17" x14ac:dyDescent="0.3">
      <c r="A76" t="s">
        <v>97</v>
      </c>
      <c r="B76" s="2">
        <v>46276</v>
      </c>
      <c r="C76" s="3">
        <v>3.57</v>
      </c>
      <c r="D76" s="3">
        <v>5.41</v>
      </c>
      <c r="E76" s="3">
        <v>3.7</v>
      </c>
      <c r="F76" s="4">
        <v>0</v>
      </c>
      <c r="G76" s="5">
        <v>109308.58</v>
      </c>
      <c r="H76" t="s">
        <v>13</v>
      </c>
      <c r="I76" t="s">
        <v>26</v>
      </c>
      <c r="J76" t="s">
        <v>18</v>
      </c>
      <c r="L76" s="3">
        <f t="shared" si="11"/>
        <v>12.68</v>
      </c>
      <c r="M76" s="3">
        <f t="shared" si="6"/>
        <v>12.68</v>
      </c>
      <c r="N76" t="b">
        <f t="shared" si="7"/>
        <v>0</v>
      </c>
      <c r="O76">
        <f t="shared" si="8"/>
        <v>1</v>
      </c>
      <c r="P76" s="3">
        <f t="shared" si="9"/>
        <v>0</v>
      </c>
      <c r="Q76" t="str">
        <f t="shared" si="10"/>
        <v>Correct</v>
      </c>
    </row>
    <row r="77" spans="1:17" x14ac:dyDescent="0.3">
      <c r="A77" t="s">
        <v>98</v>
      </c>
      <c r="B77" s="2">
        <v>46259</v>
      </c>
      <c r="C77" s="3">
        <v>0.77</v>
      </c>
      <c r="D77" s="3">
        <v>8.01</v>
      </c>
      <c r="E77" s="3">
        <v>3.79</v>
      </c>
      <c r="F77" s="4">
        <v>1</v>
      </c>
      <c r="G77" s="5">
        <v>17301.240000000002</v>
      </c>
      <c r="H77" t="s">
        <v>24</v>
      </c>
      <c r="I77" t="s">
        <v>17</v>
      </c>
      <c r="J77" t="s">
        <v>18</v>
      </c>
      <c r="L77" s="3">
        <f t="shared" si="11"/>
        <v>12.57</v>
      </c>
      <c r="M77" s="3">
        <f t="shared" si="6"/>
        <v>12.57</v>
      </c>
      <c r="N77" t="b">
        <f t="shared" si="7"/>
        <v>0</v>
      </c>
      <c r="O77">
        <f t="shared" si="8"/>
        <v>1</v>
      </c>
      <c r="P77" s="3">
        <f t="shared" si="9"/>
        <v>0</v>
      </c>
      <c r="Q77" t="str">
        <f t="shared" si="10"/>
        <v>Correct</v>
      </c>
    </row>
    <row r="78" spans="1:17" x14ac:dyDescent="0.3">
      <c r="A78" t="s">
        <v>99</v>
      </c>
      <c r="B78" s="2">
        <v>46262</v>
      </c>
      <c r="C78" s="3">
        <v>0.61</v>
      </c>
      <c r="D78" s="3">
        <v>7.2</v>
      </c>
      <c r="E78" s="3">
        <v>2.2400000000000002</v>
      </c>
      <c r="F78" s="4">
        <v>1</v>
      </c>
      <c r="G78" s="5">
        <v>39868.370000000003</v>
      </c>
      <c r="H78" t="s">
        <v>13</v>
      </c>
      <c r="I78" t="s">
        <v>17</v>
      </c>
      <c r="J78" t="s">
        <v>18</v>
      </c>
      <c r="L78" s="3">
        <f t="shared" si="11"/>
        <v>10.050000000000001</v>
      </c>
      <c r="M78" s="3">
        <f t="shared" si="6"/>
        <v>10.050000000000001</v>
      </c>
      <c r="N78" t="b">
        <f t="shared" si="7"/>
        <v>0</v>
      </c>
      <c r="O78">
        <f t="shared" si="8"/>
        <v>1</v>
      </c>
      <c r="P78" s="3">
        <f t="shared" si="9"/>
        <v>0</v>
      </c>
      <c r="Q78" t="str">
        <f t="shared" si="10"/>
        <v>Correct</v>
      </c>
    </row>
    <row r="79" spans="1:17" x14ac:dyDescent="0.3">
      <c r="A79" t="s">
        <v>100</v>
      </c>
      <c r="B79" s="2">
        <v>46261</v>
      </c>
      <c r="C79" s="3">
        <v>1.52</v>
      </c>
      <c r="D79" s="3">
        <v>1.03</v>
      </c>
      <c r="E79" s="3">
        <v>0.94</v>
      </c>
      <c r="F79" s="4">
        <v>0</v>
      </c>
      <c r="G79" s="5">
        <v>9854.19</v>
      </c>
      <c r="H79" t="s">
        <v>24</v>
      </c>
      <c r="I79" t="s">
        <v>14</v>
      </c>
      <c r="J79" t="s">
        <v>18</v>
      </c>
      <c r="L79" s="3">
        <f t="shared" si="11"/>
        <v>3.4899999999999998</v>
      </c>
      <c r="M79" s="3">
        <f t="shared" si="6"/>
        <v>3.4899999999999998</v>
      </c>
      <c r="N79" t="b">
        <f t="shared" si="7"/>
        <v>0</v>
      </c>
      <c r="O79">
        <f t="shared" si="8"/>
        <v>1</v>
      </c>
      <c r="P79" s="3">
        <f t="shared" si="9"/>
        <v>0</v>
      </c>
      <c r="Q79" t="str">
        <f t="shared" si="10"/>
        <v>Correct</v>
      </c>
    </row>
    <row r="80" spans="1:17" x14ac:dyDescent="0.3">
      <c r="A80" t="s">
        <v>101</v>
      </c>
      <c r="B80" s="2">
        <v>46250</v>
      </c>
      <c r="C80" s="3">
        <v>1.25</v>
      </c>
      <c r="D80" s="3">
        <v>5.26</v>
      </c>
      <c r="E80" s="3">
        <v>7.38</v>
      </c>
      <c r="F80" s="4">
        <v>1</v>
      </c>
      <c r="G80" s="5">
        <v>29231</v>
      </c>
      <c r="H80" t="s">
        <v>13</v>
      </c>
      <c r="I80" t="s">
        <v>14</v>
      </c>
      <c r="J80" t="s">
        <v>18</v>
      </c>
      <c r="L80" s="3">
        <f t="shared" si="11"/>
        <v>13.89</v>
      </c>
      <c r="M80" s="3">
        <f t="shared" si="6"/>
        <v>13.89</v>
      </c>
      <c r="N80" t="b">
        <f t="shared" si="7"/>
        <v>0</v>
      </c>
      <c r="O80">
        <f t="shared" si="8"/>
        <v>1</v>
      </c>
      <c r="P80" s="3">
        <f t="shared" si="9"/>
        <v>0</v>
      </c>
      <c r="Q80" t="str">
        <f t="shared" si="10"/>
        <v>Correct</v>
      </c>
    </row>
    <row r="81" spans="1:17" x14ac:dyDescent="0.3">
      <c r="A81" t="s">
        <v>102</v>
      </c>
      <c r="B81" s="2">
        <v>46242</v>
      </c>
      <c r="C81" s="3">
        <v>2.41</v>
      </c>
      <c r="D81" s="3">
        <v>6</v>
      </c>
      <c r="E81" s="3">
        <v>0.6</v>
      </c>
      <c r="F81" s="4">
        <v>0</v>
      </c>
      <c r="G81" s="5">
        <v>8388.19</v>
      </c>
      <c r="H81" t="s">
        <v>24</v>
      </c>
      <c r="I81" t="s">
        <v>20</v>
      </c>
      <c r="J81" t="s">
        <v>18</v>
      </c>
      <c r="L81" s="3">
        <f t="shared" si="11"/>
        <v>9.01</v>
      </c>
      <c r="M81" s="3">
        <f t="shared" si="6"/>
        <v>9.01</v>
      </c>
      <c r="N81" t="b">
        <f t="shared" si="7"/>
        <v>0</v>
      </c>
      <c r="O81">
        <f t="shared" si="8"/>
        <v>1</v>
      </c>
      <c r="P81" s="3">
        <f t="shared" si="9"/>
        <v>0</v>
      </c>
      <c r="Q81" t="str">
        <f t="shared" si="10"/>
        <v>Correct</v>
      </c>
    </row>
    <row r="82" spans="1:17" x14ac:dyDescent="0.3">
      <c r="A82" t="s">
        <v>103</v>
      </c>
      <c r="B82" s="2">
        <v>46284</v>
      </c>
      <c r="C82" s="3">
        <v>1.72</v>
      </c>
      <c r="D82" s="3">
        <v>1.75</v>
      </c>
      <c r="E82" s="3">
        <v>3.44</v>
      </c>
      <c r="F82" s="4">
        <v>1</v>
      </c>
      <c r="G82" s="5">
        <v>3573.54</v>
      </c>
      <c r="H82" t="s">
        <v>24</v>
      </c>
      <c r="I82" t="s">
        <v>14</v>
      </c>
      <c r="J82" t="s">
        <v>18</v>
      </c>
      <c r="L82" s="3">
        <f t="shared" si="11"/>
        <v>6.91</v>
      </c>
      <c r="M82" s="3">
        <f t="shared" si="6"/>
        <v>6.91</v>
      </c>
      <c r="N82" t="b">
        <f t="shared" si="7"/>
        <v>0</v>
      </c>
      <c r="O82">
        <f t="shared" si="8"/>
        <v>1</v>
      </c>
      <c r="P82" s="3">
        <f t="shared" si="9"/>
        <v>0</v>
      </c>
      <c r="Q82" t="str">
        <f t="shared" si="10"/>
        <v>Correct</v>
      </c>
    </row>
    <row r="83" spans="1:17" x14ac:dyDescent="0.3">
      <c r="A83" t="s">
        <v>104</v>
      </c>
      <c r="B83" s="2">
        <v>46240</v>
      </c>
      <c r="C83" s="3">
        <v>1.34</v>
      </c>
      <c r="D83" s="3">
        <v>7.6</v>
      </c>
      <c r="E83" s="3">
        <v>9.0399999999999991</v>
      </c>
      <c r="F83" s="4">
        <v>0</v>
      </c>
      <c r="G83" s="5">
        <v>8273.94</v>
      </c>
      <c r="H83" t="s">
        <v>24</v>
      </c>
      <c r="I83" t="s">
        <v>17</v>
      </c>
      <c r="J83" t="s">
        <v>18</v>
      </c>
      <c r="L83" s="3">
        <f t="shared" si="11"/>
        <v>17.979999999999997</v>
      </c>
      <c r="M83" s="3">
        <f t="shared" si="6"/>
        <v>17.979999999999997</v>
      </c>
      <c r="N83" t="b">
        <f t="shared" si="7"/>
        <v>0</v>
      </c>
      <c r="O83">
        <f t="shared" si="8"/>
        <v>1</v>
      </c>
      <c r="P83" s="3">
        <f t="shared" si="9"/>
        <v>0</v>
      </c>
      <c r="Q83" t="str">
        <f t="shared" si="10"/>
        <v>Correct</v>
      </c>
    </row>
    <row r="84" spans="1:17" x14ac:dyDescent="0.3">
      <c r="A84" t="s">
        <v>105</v>
      </c>
      <c r="B84" s="2">
        <v>46254</v>
      </c>
      <c r="C84" s="3">
        <v>0.37</v>
      </c>
      <c r="D84" s="3">
        <v>12.16</v>
      </c>
      <c r="E84" s="3">
        <v>6.2</v>
      </c>
      <c r="F84" s="4">
        <v>1</v>
      </c>
      <c r="G84" s="5">
        <v>8266.6299999999992</v>
      </c>
      <c r="H84" t="s">
        <v>24</v>
      </c>
      <c r="I84" t="s">
        <v>20</v>
      </c>
      <c r="J84" t="s">
        <v>18</v>
      </c>
      <c r="L84" s="3">
        <f t="shared" si="11"/>
        <v>18.73</v>
      </c>
      <c r="M84" s="3">
        <f t="shared" si="6"/>
        <v>18.73</v>
      </c>
      <c r="N84" t="b">
        <f t="shared" si="7"/>
        <v>0</v>
      </c>
      <c r="O84">
        <f t="shared" si="8"/>
        <v>1</v>
      </c>
      <c r="P84" s="3">
        <f t="shared" si="9"/>
        <v>0</v>
      </c>
      <c r="Q84" t="str">
        <f t="shared" si="10"/>
        <v>Correct</v>
      </c>
    </row>
    <row r="85" spans="1:17" x14ac:dyDescent="0.3">
      <c r="A85" t="s">
        <v>106</v>
      </c>
      <c r="B85" s="2">
        <v>46275</v>
      </c>
      <c r="C85" s="3">
        <v>2.71</v>
      </c>
      <c r="D85" s="3">
        <v>3.71</v>
      </c>
      <c r="E85" s="3">
        <v>6.82</v>
      </c>
      <c r="F85" s="4">
        <v>2</v>
      </c>
      <c r="G85" s="5">
        <v>9123.06</v>
      </c>
      <c r="H85" t="s">
        <v>24</v>
      </c>
      <c r="I85" t="s">
        <v>26</v>
      </c>
      <c r="J85" t="s">
        <v>18</v>
      </c>
      <c r="L85" s="3">
        <f t="shared" si="11"/>
        <v>13.24</v>
      </c>
      <c r="M85" s="3">
        <f t="shared" si="6"/>
        <v>13.24</v>
      </c>
      <c r="N85" t="b">
        <f t="shared" si="7"/>
        <v>0</v>
      </c>
      <c r="O85">
        <f t="shared" si="8"/>
        <v>1</v>
      </c>
      <c r="P85" s="3">
        <f t="shared" si="9"/>
        <v>0</v>
      </c>
      <c r="Q85" t="str">
        <f t="shared" si="10"/>
        <v>Correct</v>
      </c>
    </row>
    <row r="86" spans="1:17" x14ac:dyDescent="0.3">
      <c r="A86" t="s">
        <v>107</v>
      </c>
      <c r="B86" s="2">
        <v>46242</v>
      </c>
      <c r="C86" s="3">
        <v>0.33</v>
      </c>
      <c r="D86" s="3">
        <v>5.2</v>
      </c>
      <c r="E86" s="3">
        <v>2.12</v>
      </c>
      <c r="F86" s="4">
        <v>0</v>
      </c>
      <c r="G86" s="5">
        <v>19214</v>
      </c>
      <c r="H86" t="s">
        <v>13</v>
      </c>
      <c r="I86" t="s">
        <v>26</v>
      </c>
      <c r="J86" t="s">
        <v>18</v>
      </c>
      <c r="L86" s="3">
        <f t="shared" si="11"/>
        <v>7.65</v>
      </c>
      <c r="M86" s="3">
        <f t="shared" si="6"/>
        <v>7.65</v>
      </c>
      <c r="N86" t="b">
        <f t="shared" si="7"/>
        <v>0</v>
      </c>
      <c r="O86">
        <f t="shared" si="8"/>
        <v>1</v>
      </c>
      <c r="P86" s="3">
        <f t="shared" si="9"/>
        <v>0</v>
      </c>
      <c r="Q86" t="str">
        <f t="shared" si="10"/>
        <v>Correct</v>
      </c>
    </row>
    <row r="87" spans="1:17" x14ac:dyDescent="0.3">
      <c r="A87" t="s">
        <v>108</v>
      </c>
      <c r="B87" s="2">
        <v>46274</v>
      </c>
      <c r="C87" s="3">
        <v>3.58</v>
      </c>
      <c r="D87" s="3">
        <v>0.94</v>
      </c>
      <c r="E87" s="3">
        <v>0.52</v>
      </c>
      <c r="F87" s="4">
        <v>0</v>
      </c>
      <c r="G87" s="5">
        <v>7756.94</v>
      </c>
      <c r="H87" t="s">
        <v>24</v>
      </c>
      <c r="I87" t="s">
        <v>26</v>
      </c>
      <c r="J87" t="s">
        <v>15</v>
      </c>
      <c r="L87" s="3">
        <f t="shared" si="11"/>
        <v>5.0399999999999991</v>
      </c>
      <c r="M87" s="3">
        <f t="shared" si="6"/>
        <v>5.0399999999999991</v>
      </c>
      <c r="N87" t="b">
        <f t="shared" si="7"/>
        <v>0</v>
      </c>
      <c r="O87">
        <f t="shared" si="8"/>
        <v>1</v>
      </c>
      <c r="P87" s="3">
        <f t="shared" si="9"/>
        <v>0</v>
      </c>
      <c r="Q87" t="str">
        <f t="shared" si="10"/>
        <v>Correct</v>
      </c>
    </row>
    <row r="88" spans="1:17" x14ac:dyDescent="0.3">
      <c r="A88" t="s">
        <v>109</v>
      </c>
      <c r="B88" s="2">
        <v>46278</v>
      </c>
      <c r="C88" s="3">
        <v>0.25</v>
      </c>
      <c r="D88" s="3">
        <v>1.58</v>
      </c>
      <c r="E88" s="3">
        <v>5.15</v>
      </c>
      <c r="F88" s="4">
        <v>1</v>
      </c>
      <c r="G88" s="5">
        <v>9683.33</v>
      </c>
      <c r="H88" t="s">
        <v>24</v>
      </c>
      <c r="I88" t="s">
        <v>14</v>
      </c>
      <c r="J88" t="s">
        <v>18</v>
      </c>
      <c r="L88" s="3">
        <f t="shared" si="11"/>
        <v>6.98</v>
      </c>
      <c r="M88" s="3">
        <f t="shared" si="6"/>
        <v>6.98</v>
      </c>
      <c r="N88" t="b">
        <f t="shared" si="7"/>
        <v>0</v>
      </c>
      <c r="O88">
        <f t="shared" si="8"/>
        <v>1</v>
      </c>
      <c r="P88" s="3">
        <f t="shared" si="9"/>
        <v>0</v>
      </c>
      <c r="Q88" t="str">
        <f t="shared" si="10"/>
        <v>Correct</v>
      </c>
    </row>
    <row r="89" spans="1:17" x14ac:dyDescent="0.3">
      <c r="A89" t="s">
        <v>110</v>
      </c>
      <c r="B89" s="2">
        <v>46274</v>
      </c>
      <c r="C89" s="3">
        <v>0.31</v>
      </c>
      <c r="D89" s="3">
        <v>3.39</v>
      </c>
      <c r="E89" s="3">
        <v>1.01</v>
      </c>
      <c r="F89" s="4">
        <v>0</v>
      </c>
      <c r="G89" s="5">
        <v>12623.94</v>
      </c>
      <c r="H89" t="s">
        <v>24</v>
      </c>
      <c r="I89" t="s">
        <v>17</v>
      </c>
      <c r="J89" t="s">
        <v>18</v>
      </c>
      <c r="L89" s="3">
        <f t="shared" si="11"/>
        <v>4.71</v>
      </c>
      <c r="M89" s="3">
        <f t="shared" si="6"/>
        <v>4.71</v>
      </c>
      <c r="N89" t="b">
        <f t="shared" si="7"/>
        <v>0</v>
      </c>
      <c r="O89">
        <f t="shared" si="8"/>
        <v>1</v>
      </c>
      <c r="P89" s="3">
        <f t="shared" si="9"/>
        <v>0</v>
      </c>
      <c r="Q89" t="str">
        <f t="shared" si="10"/>
        <v>Correct</v>
      </c>
    </row>
    <row r="90" spans="1:17" x14ac:dyDescent="0.3">
      <c r="A90" t="s">
        <v>111</v>
      </c>
      <c r="B90" s="2">
        <v>46253</v>
      </c>
      <c r="C90" s="3">
        <v>0.76</v>
      </c>
      <c r="D90" s="3">
        <v>5.84</v>
      </c>
      <c r="E90" s="3">
        <v>2.99</v>
      </c>
      <c r="F90" s="4">
        <v>1</v>
      </c>
      <c r="G90" s="5">
        <v>8371.31</v>
      </c>
      <c r="H90" t="s">
        <v>24</v>
      </c>
      <c r="I90" t="s">
        <v>26</v>
      </c>
      <c r="J90" t="s">
        <v>18</v>
      </c>
      <c r="L90" s="3">
        <f t="shared" si="11"/>
        <v>9.59</v>
      </c>
      <c r="M90" s="3">
        <f t="shared" si="6"/>
        <v>9.59</v>
      </c>
      <c r="N90" t="b">
        <f t="shared" si="7"/>
        <v>0</v>
      </c>
      <c r="O90">
        <f t="shared" si="8"/>
        <v>1</v>
      </c>
      <c r="P90" s="3">
        <f t="shared" si="9"/>
        <v>0</v>
      </c>
      <c r="Q90" t="str">
        <f t="shared" si="10"/>
        <v>Correct</v>
      </c>
    </row>
    <row r="91" spans="1:17" x14ac:dyDescent="0.3">
      <c r="A91" t="s">
        <v>112</v>
      </c>
      <c r="B91" s="2">
        <v>46236</v>
      </c>
      <c r="C91" s="3">
        <v>1.1599999999999999</v>
      </c>
      <c r="D91" s="3">
        <v>3.06</v>
      </c>
      <c r="E91" s="3">
        <v>5.05</v>
      </c>
      <c r="F91" s="4">
        <v>1</v>
      </c>
      <c r="G91" s="5">
        <v>7900.59</v>
      </c>
      <c r="H91" t="s">
        <v>24</v>
      </c>
      <c r="I91" t="s">
        <v>17</v>
      </c>
      <c r="J91" t="s">
        <v>18</v>
      </c>
      <c r="L91" s="3">
        <f t="shared" si="11"/>
        <v>9.27</v>
      </c>
      <c r="M91" s="3">
        <f t="shared" si="6"/>
        <v>9.27</v>
      </c>
      <c r="N91" t="b">
        <f t="shared" si="7"/>
        <v>0</v>
      </c>
      <c r="O91">
        <f t="shared" si="8"/>
        <v>1</v>
      </c>
      <c r="P91" s="3">
        <f t="shared" si="9"/>
        <v>0</v>
      </c>
      <c r="Q91" t="str">
        <f t="shared" si="10"/>
        <v>Correct</v>
      </c>
    </row>
    <row r="92" spans="1:17" x14ac:dyDescent="0.3">
      <c r="A92" t="s">
        <v>113</v>
      </c>
      <c r="B92" s="2">
        <v>46288</v>
      </c>
      <c r="C92" s="3">
        <v>0.97</v>
      </c>
      <c r="D92" s="3">
        <v>0.86</v>
      </c>
      <c r="E92" s="3">
        <v>1.07</v>
      </c>
      <c r="F92" s="4">
        <v>0</v>
      </c>
      <c r="G92" s="5">
        <v>31631.02</v>
      </c>
      <c r="H92" t="s">
        <v>13</v>
      </c>
      <c r="I92" t="s">
        <v>26</v>
      </c>
      <c r="J92" t="s">
        <v>18</v>
      </c>
      <c r="L92" s="3">
        <f t="shared" si="11"/>
        <v>2.9000000000000004</v>
      </c>
      <c r="M92" s="3">
        <f t="shared" si="6"/>
        <v>2.9000000000000004</v>
      </c>
      <c r="N92" t="b">
        <f t="shared" si="7"/>
        <v>0</v>
      </c>
      <c r="O92">
        <f t="shared" si="8"/>
        <v>1</v>
      </c>
      <c r="P92" s="3">
        <f t="shared" si="9"/>
        <v>0</v>
      </c>
      <c r="Q92" t="str">
        <f t="shared" si="10"/>
        <v>Correct</v>
      </c>
    </row>
    <row r="93" spans="1:17" x14ac:dyDescent="0.3">
      <c r="A93" t="s">
        <v>114</v>
      </c>
      <c r="B93" s="2">
        <v>46254</v>
      </c>
      <c r="C93" s="3">
        <v>1.1499999999999999</v>
      </c>
      <c r="D93" s="3">
        <v>5.18</v>
      </c>
      <c r="E93" s="3">
        <v>2.57</v>
      </c>
      <c r="F93" s="4">
        <v>0</v>
      </c>
      <c r="G93" s="5">
        <v>3440.93</v>
      </c>
      <c r="H93" t="s">
        <v>24</v>
      </c>
      <c r="I93" t="s">
        <v>14</v>
      </c>
      <c r="J93" t="s">
        <v>18</v>
      </c>
      <c r="L93" s="3">
        <f t="shared" si="11"/>
        <v>8.9</v>
      </c>
      <c r="M93" s="3">
        <f t="shared" si="6"/>
        <v>8.9</v>
      </c>
      <c r="N93" t="b">
        <f t="shared" si="7"/>
        <v>0</v>
      </c>
      <c r="O93">
        <f t="shared" si="8"/>
        <v>1</v>
      </c>
      <c r="P93" s="3">
        <f t="shared" si="9"/>
        <v>0</v>
      </c>
      <c r="Q93" t="str">
        <f t="shared" si="10"/>
        <v>Correct</v>
      </c>
    </row>
    <row r="94" spans="1:17" x14ac:dyDescent="0.3">
      <c r="A94" t="s">
        <v>115</v>
      </c>
      <c r="B94" s="2">
        <v>46283</v>
      </c>
      <c r="C94" s="3">
        <v>2.06</v>
      </c>
      <c r="D94" s="3">
        <v>3.65</v>
      </c>
      <c r="E94" s="3">
        <v>1.49</v>
      </c>
      <c r="F94" s="4">
        <v>0</v>
      </c>
      <c r="G94" s="5">
        <v>12866.33</v>
      </c>
      <c r="H94" t="s">
        <v>24</v>
      </c>
      <c r="I94" t="s">
        <v>17</v>
      </c>
      <c r="J94" t="s">
        <v>18</v>
      </c>
      <c r="L94" s="3">
        <f t="shared" si="11"/>
        <v>7.2</v>
      </c>
      <c r="M94" s="3">
        <f t="shared" si="6"/>
        <v>7.2</v>
      </c>
      <c r="N94" t="b">
        <f t="shared" si="7"/>
        <v>0</v>
      </c>
      <c r="O94">
        <f t="shared" si="8"/>
        <v>1</v>
      </c>
      <c r="P94" s="3">
        <f t="shared" si="9"/>
        <v>0</v>
      </c>
      <c r="Q94" t="str">
        <f t="shared" si="10"/>
        <v>Correct</v>
      </c>
    </row>
    <row r="95" spans="1:17" x14ac:dyDescent="0.3">
      <c r="A95" t="s">
        <v>116</v>
      </c>
      <c r="B95" s="2">
        <v>46246</v>
      </c>
      <c r="C95" s="3">
        <v>0.78</v>
      </c>
      <c r="D95" s="3">
        <v>1.62</v>
      </c>
      <c r="E95" s="3">
        <v>3.63</v>
      </c>
      <c r="F95" s="4">
        <v>1</v>
      </c>
      <c r="G95" s="5">
        <v>9894.06</v>
      </c>
      <c r="H95" t="s">
        <v>24</v>
      </c>
      <c r="I95" t="s">
        <v>17</v>
      </c>
      <c r="J95" t="s">
        <v>18</v>
      </c>
      <c r="L95" s="3">
        <f t="shared" si="11"/>
        <v>6.03</v>
      </c>
      <c r="M95" s="3">
        <f t="shared" si="6"/>
        <v>6.03</v>
      </c>
      <c r="N95" t="b">
        <f t="shared" si="7"/>
        <v>0</v>
      </c>
      <c r="O95">
        <f t="shared" si="8"/>
        <v>1</v>
      </c>
      <c r="P95" s="3">
        <f t="shared" si="9"/>
        <v>0</v>
      </c>
      <c r="Q95" t="str">
        <f t="shared" si="10"/>
        <v>Correct</v>
      </c>
    </row>
    <row r="96" spans="1:17" x14ac:dyDescent="0.3">
      <c r="A96" t="s">
        <v>117</v>
      </c>
      <c r="B96" s="2">
        <v>46244</v>
      </c>
      <c r="C96" s="3">
        <v>2.0699999999999998</v>
      </c>
      <c r="D96" s="3">
        <v>10.44</v>
      </c>
      <c r="E96" s="3">
        <v>1.71</v>
      </c>
      <c r="F96" s="4">
        <v>0</v>
      </c>
      <c r="G96" s="5">
        <v>10115.57</v>
      </c>
      <c r="H96" t="s">
        <v>24</v>
      </c>
      <c r="I96" t="s">
        <v>17</v>
      </c>
      <c r="J96" t="s">
        <v>15</v>
      </c>
      <c r="L96" s="3">
        <f t="shared" si="11"/>
        <v>14.219999999999999</v>
      </c>
      <c r="M96" s="3">
        <f t="shared" si="6"/>
        <v>14.219999999999999</v>
      </c>
      <c r="N96" t="b">
        <f t="shared" si="7"/>
        <v>0</v>
      </c>
      <c r="O96">
        <f t="shared" si="8"/>
        <v>1</v>
      </c>
      <c r="P96" s="3">
        <f t="shared" si="9"/>
        <v>0</v>
      </c>
      <c r="Q96" t="str">
        <f t="shared" si="10"/>
        <v>Correct</v>
      </c>
    </row>
    <row r="97" spans="1:17" x14ac:dyDescent="0.3">
      <c r="A97" t="s">
        <v>118</v>
      </c>
      <c r="B97" s="2">
        <v>46281</v>
      </c>
      <c r="C97" s="3">
        <v>0.25</v>
      </c>
      <c r="D97" s="3">
        <v>2.96</v>
      </c>
      <c r="E97" s="3">
        <v>2.5499999999999998</v>
      </c>
      <c r="F97" s="4">
        <v>0</v>
      </c>
      <c r="G97" s="5">
        <v>16787.740000000002</v>
      </c>
      <c r="H97" t="s">
        <v>24</v>
      </c>
      <c r="I97" t="s">
        <v>14</v>
      </c>
      <c r="J97" t="s">
        <v>18</v>
      </c>
      <c r="L97" s="3">
        <f t="shared" si="11"/>
        <v>5.76</v>
      </c>
      <c r="M97" s="3">
        <f t="shared" si="6"/>
        <v>5.76</v>
      </c>
      <c r="N97" t="b">
        <f t="shared" si="7"/>
        <v>0</v>
      </c>
      <c r="O97">
        <f t="shared" si="8"/>
        <v>1</v>
      </c>
      <c r="P97" s="3">
        <f t="shared" si="9"/>
        <v>0</v>
      </c>
      <c r="Q97" t="str">
        <f t="shared" si="10"/>
        <v>Correct</v>
      </c>
    </row>
    <row r="98" spans="1:17" x14ac:dyDescent="0.3">
      <c r="A98" t="s">
        <v>119</v>
      </c>
      <c r="B98" s="2">
        <v>46291</v>
      </c>
      <c r="C98" s="3">
        <v>0.75</v>
      </c>
      <c r="D98" s="3">
        <v>12.28</v>
      </c>
      <c r="E98" s="3">
        <v>6.84</v>
      </c>
      <c r="F98" s="4">
        <v>0</v>
      </c>
      <c r="G98" s="5">
        <v>18977.310000000001</v>
      </c>
      <c r="H98" t="s">
        <v>13</v>
      </c>
      <c r="I98" t="s">
        <v>17</v>
      </c>
      <c r="J98" t="s">
        <v>18</v>
      </c>
      <c r="L98" s="3">
        <f t="shared" si="11"/>
        <v>19.869999999999997</v>
      </c>
      <c r="M98" s="3">
        <f t="shared" si="6"/>
        <v>19.869999999999997</v>
      </c>
      <c r="N98" t="b">
        <f t="shared" si="7"/>
        <v>0</v>
      </c>
      <c r="O98">
        <f t="shared" si="8"/>
        <v>1</v>
      </c>
      <c r="P98" s="3">
        <f t="shared" si="9"/>
        <v>0</v>
      </c>
      <c r="Q98" t="str">
        <f t="shared" si="10"/>
        <v>Correct</v>
      </c>
    </row>
    <row r="99" spans="1:17" x14ac:dyDescent="0.3">
      <c r="A99" t="s">
        <v>120</v>
      </c>
      <c r="B99" s="2">
        <v>46286</v>
      </c>
      <c r="C99" s="3">
        <v>0.28999999999999998</v>
      </c>
      <c r="D99" s="3">
        <v>0.95</v>
      </c>
      <c r="E99" s="3">
        <v>6.69</v>
      </c>
      <c r="F99" s="4">
        <v>3</v>
      </c>
      <c r="G99" s="5">
        <v>3342.22</v>
      </c>
      <c r="H99" t="s">
        <v>24</v>
      </c>
      <c r="I99" t="s">
        <v>26</v>
      </c>
      <c r="J99" t="s">
        <v>21</v>
      </c>
      <c r="K99" t="s">
        <v>29</v>
      </c>
      <c r="L99" s="3">
        <f t="shared" si="11"/>
        <v>7.9300000000000006</v>
      </c>
      <c r="M99" s="3">
        <f t="shared" si="6"/>
        <v>7.9300000000000006</v>
      </c>
      <c r="N99" t="b">
        <f t="shared" si="7"/>
        <v>0</v>
      </c>
      <c r="O99">
        <f t="shared" si="8"/>
        <v>0</v>
      </c>
      <c r="P99" s="3">
        <f t="shared" si="9"/>
        <v>0</v>
      </c>
      <c r="Q99" t="str">
        <f t="shared" si="10"/>
        <v>Correct</v>
      </c>
    </row>
    <row r="100" spans="1:17" x14ac:dyDescent="0.3">
      <c r="A100" t="s">
        <v>121</v>
      </c>
      <c r="B100" s="2">
        <v>46280</v>
      </c>
      <c r="C100" s="3">
        <v>3.55</v>
      </c>
      <c r="D100" s="3">
        <v>0.53</v>
      </c>
      <c r="E100" s="3">
        <v>2.34</v>
      </c>
      <c r="F100" s="4">
        <v>0</v>
      </c>
      <c r="G100" s="5">
        <v>25051.46</v>
      </c>
      <c r="H100" t="s">
        <v>13</v>
      </c>
      <c r="I100" t="s">
        <v>26</v>
      </c>
      <c r="J100" t="s">
        <v>18</v>
      </c>
      <c r="L100" s="3">
        <f t="shared" si="11"/>
        <v>6.42</v>
      </c>
      <c r="M100" s="3">
        <f t="shared" si="6"/>
        <v>6.42</v>
      </c>
      <c r="N100" t="b">
        <f t="shared" si="7"/>
        <v>0</v>
      </c>
      <c r="O100">
        <f t="shared" si="8"/>
        <v>1</v>
      </c>
      <c r="P100" s="3">
        <f t="shared" si="9"/>
        <v>0</v>
      </c>
      <c r="Q100" t="str">
        <f t="shared" si="10"/>
        <v>Correct</v>
      </c>
    </row>
    <row r="101" spans="1:17" x14ac:dyDescent="0.3">
      <c r="A101" t="s">
        <v>122</v>
      </c>
      <c r="B101" s="2">
        <v>46249</v>
      </c>
      <c r="C101" s="3">
        <v>0.88</v>
      </c>
      <c r="D101" s="3">
        <v>4.3</v>
      </c>
      <c r="E101" s="3">
        <v>8.26</v>
      </c>
      <c r="F101" s="4">
        <v>1</v>
      </c>
      <c r="G101" s="5">
        <v>9858.4599999999991</v>
      </c>
      <c r="H101" t="s">
        <v>24</v>
      </c>
      <c r="I101" t="s">
        <v>20</v>
      </c>
      <c r="J101" t="s">
        <v>15</v>
      </c>
      <c r="L101" s="3">
        <f t="shared" si="11"/>
        <v>13.44</v>
      </c>
      <c r="M101" s="3">
        <f t="shared" si="6"/>
        <v>13.44</v>
      </c>
      <c r="N101" t="b">
        <f t="shared" si="7"/>
        <v>0</v>
      </c>
      <c r="O101">
        <f t="shared" si="8"/>
        <v>1</v>
      </c>
      <c r="P101" s="3">
        <f t="shared" si="9"/>
        <v>0</v>
      </c>
      <c r="Q101" t="str">
        <f t="shared" si="10"/>
        <v>Correct</v>
      </c>
    </row>
    <row r="102" spans="1:17" x14ac:dyDescent="0.3">
      <c r="A102" t="s">
        <v>123</v>
      </c>
      <c r="B102" s="2">
        <v>46289</v>
      </c>
      <c r="C102" s="3">
        <v>2.6</v>
      </c>
      <c r="D102" s="3">
        <v>1.53</v>
      </c>
      <c r="E102" s="3">
        <v>4.5199999999999996</v>
      </c>
      <c r="F102" s="4">
        <v>1</v>
      </c>
      <c r="G102" s="5">
        <v>10868.21</v>
      </c>
      <c r="H102" t="s">
        <v>24</v>
      </c>
      <c r="I102" t="s">
        <v>20</v>
      </c>
      <c r="J102" t="s">
        <v>18</v>
      </c>
      <c r="L102" s="3">
        <f t="shared" si="11"/>
        <v>8.6499999999999986</v>
      </c>
      <c r="M102" s="3">
        <f t="shared" si="6"/>
        <v>8.6499999999999986</v>
      </c>
      <c r="N102" t="b">
        <f t="shared" si="7"/>
        <v>0</v>
      </c>
      <c r="O102">
        <f t="shared" si="8"/>
        <v>1</v>
      </c>
      <c r="P102" s="3">
        <f t="shared" si="9"/>
        <v>0</v>
      </c>
      <c r="Q102" t="str">
        <f t="shared" si="10"/>
        <v>Correct</v>
      </c>
    </row>
    <row r="103" spans="1:17" x14ac:dyDescent="0.3">
      <c r="A103" t="s">
        <v>124</v>
      </c>
      <c r="B103" s="2">
        <v>46275</v>
      </c>
      <c r="C103" s="3">
        <v>0.25</v>
      </c>
      <c r="D103" s="3">
        <v>5.75</v>
      </c>
      <c r="E103" s="3">
        <v>5.84</v>
      </c>
      <c r="F103" s="4">
        <v>0</v>
      </c>
      <c r="G103" s="5">
        <v>99700.32</v>
      </c>
      <c r="H103" t="s">
        <v>13</v>
      </c>
      <c r="I103" t="s">
        <v>14</v>
      </c>
      <c r="J103" t="s">
        <v>18</v>
      </c>
      <c r="L103" s="3">
        <f t="shared" si="11"/>
        <v>11.84</v>
      </c>
      <c r="M103" s="3">
        <f t="shared" si="6"/>
        <v>11.84</v>
      </c>
      <c r="N103" t="b">
        <f t="shared" si="7"/>
        <v>0</v>
      </c>
      <c r="O103">
        <f t="shared" si="8"/>
        <v>1</v>
      </c>
      <c r="P103" s="3">
        <f t="shared" si="9"/>
        <v>0</v>
      </c>
      <c r="Q103" t="str">
        <f t="shared" si="10"/>
        <v>Correct</v>
      </c>
    </row>
    <row r="104" spans="1:17" x14ac:dyDescent="0.3">
      <c r="A104" t="s">
        <v>125</v>
      </c>
      <c r="B104" s="2">
        <v>46245</v>
      </c>
      <c r="C104" s="3">
        <v>4.58</v>
      </c>
      <c r="D104" s="3">
        <v>5.84</v>
      </c>
      <c r="E104" s="3">
        <v>2.82</v>
      </c>
      <c r="F104" s="4">
        <v>1</v>
      </c>
      <c r="G104" s="5">
        <v>32480.07</v>
      </c>
      <c r="H104" t="s">
        <v>13</v>
      </c>
      <c r="I104" t="s">
        <v>26</v>
      </c>
      <c r="J104" t="s">
        <v>18</v>
      </c>
      <c r="L104" s="3">
        <f t="shared" si="11"/>
        <v>13.24</v>
      </c>
      <c r="M104" s="3">
        <f t="shared" si="6"/>
        <v>13.24</v>
      </c>
      <c r="N104" t="b">
        <f t="shared" si="7"/>
        <v>0</v>
      </c>
      <c r="O104">
        <f t="shared" si="8"/>
        <v>1</v>
      </c>
      <c r="P104" s="3">
        <f t="shared" si="9"/>
        <v>0</v>
      </c>
      <c r="Q104" t="str">
        <f t="shared" si="10"/>
        <v>Correct</v>
      </c>
    </row>
    <row r="105" spans="1:17" x14ac:dyDescent="0.3">
      <c r="A105" t="s">
        <v>126</v>
      </c>
      <c r="B105" s="2">
        <v>46242</v>
      </c>
      <c r="C105" s="3">
        <v>1.8</v>
      </c>
      <c r="D105" s="3">
        <v>5.32</v>
      </c>
      <c r="E105" s="3">
        <v>2.2000000000000002</v>
      </c>
      <c r="F105" s="4">
        <v>1</v>
      </c>
      <c r="G105" s="5">
        <v>44659.59</v>
      </c>
      <c r="H105" t="s">
        <v>13</v>
      </c>
      <c r="I105" t="s">
        <v>20</v>
      </c>
      <c r="J105" t="s">
        <v>18</v>
      </c>
      <c r="L105" s="3">
        <f t="shared" si="11"/>
        <v>9.32</v>
      </c>
      <c r="M105" s="3">
        <f t="shared" si="6"/>
        <v>9.32</v>
      </c>
      <c r="N105" t="b">
        <f t="shared" si="7"/>
        <v>0</v>
      </c>
      <c r="O105">
        <f t="shared" si="8"/>
        <v>1</v>
      </c>
      <c r="P105" s="3">
        <f t="shared" si="9"/>
        <v>0</v>
      </c>
      <c r="Q105" t="str">
        <f t="shared" si="10"/>
        <v>Correct</v>
      </c>
    </row>
    <row r="106" spans="1:17" x14ac:dyDescent="0.3">
      <c r="A106" t="s">
        <v>127</v>
      </c>
      <c r="B106" s="2">
        <v>46287</v>
      </c>
      <c r="C106" s="3">
        <v>1.65</v>
      </c>
      <c r="D106" s="3">
        <v>10.58</v>
      </c>
      <c r="E106" s="3">
        <v>4.8099999999999996</v>
      </c>
      <c r="F106" s="4">
        <v>1</v>
      </c>
      <c r="G106" s="5">
        <v>16046.07</v>
      </c>
      <c r="H106" t="s">
        <v>13</v>
      </c>
      <c r="I106" t="s">
        <v>14</v>
      </c>
      <c r="J106" t="s">
        <v>15</v>
      </c>
      <c r="L106" s="3">
        <f t="shared" si="11"/>
        <v>17.04</v>
      </c>
      <c r="M106" s="3">
        <f t="shared" si="6"/>
        <v>17.04</v>
      </c>
      <c r="N106" t="b">
        <f t="shared" si="7"/>
        <v>0</v>
      </c>
      <c r="O106">
        <f t="shared" si="8"/>
        <v>1</v>
      </c>
      <c r="P106" s="3">
        <f t="shared" si="9"/>
        <v>0</v>
      </c>
      <c r="Q106" t="str">
        <f t="shared" si="10"/>
        <v>Correct</v>
      </c>
    </row>
    <row r="107" spans="1:17" x14ac:dyDescent="0.3">
      <c r="A107" t="s">
        <v>128</v>
      </c>
      <c r="B107" s="2">
        <v>46251</v>
      </c>
      <c r="C107" s="3">
        <v>0.37</v>
      </c>
      <c r="D107" s="3">
        <v>25.39</v>
      </c>
      <c r="E107" s="3">
        <v>4.76</v>
      </c>
      <c r="F107" s="4">
        <v>1</v>
      </c>
      <c r="G107" s="5">
        <v>69893.47</v>
      </c>
      <c r="H107" t="s">
        <v>13</v>
      </c>
      <c r="I107" t="s">
        <v>14</v>
      </c>
      <c r="J107" t="s">
        <v>18</v>
      </c>
      <c r="L107" s="3">
        <f t="shared" si="11"/>
        <v>30.520000000000003</v>
      </c>
      <c r="M107" s="3">
        <f t="shared" si="6"/>
        <v>30.520000000000003</v>
      </c>
      <c r="N107" t="b">
        <f t="shared" si="7"/>
        <v>0</v>
      </c>
      <c r="O107">
        <f t="shared" si="8"/>
        <v>1</v>
      </c>
      <c r="P107" s="3">
        <f t="shared" si="9"/>
        <v>0</v>
      </c>
      <c r="Q107" t="str">
        <f t="shared" si="10"/>
        <v>Correct</v>
      </c>
    </row>
    <row r="108" spans="1:17" x14ac:dyDescent="0.3">
      <c r="A108" t="s">
        <v>129</v>
      </c>
      <c r="B108" s="2">
        <v>46280</v>
      </c>
      <c r="C108" s="3">
        <v>0.67</v>
      </c>
      <c r="D108" s="3">
        <v>11.4</v>
      </c>
      <c r="E108" s="3">
        <v>2.56</v>
      </c>
      <c r="F108" s="4">
        <v>0</v>
      </c>
      <c r="G108" s="5">
        <v>23902.06</v>
      </c>
      <c r="H108" t="s">
        <v>13</v>
      </c>
      <c r="I108" t="s">
        <v>17</v>
      </c>
      <c r="J108" t="s">
        <v>18</v>
      </c>
      <c r="L108" s="3">
        <f t="shared" si="11"/>
        <v>14.63</v>
      </c>
      <c r="M108" s="3">
        <f t="shared" si="6"/>
        <v>14.63</v>
      </c>
      <c r="N108" t="b">
        <f t="shared" si="7"/>
        <v>0</v>
      </c>
      <c r="O108">
        <f t="shared" si="8"/>
        <v>1</v>
      </c>
      <c r="P108" s="3">
        <f t="shared" si="9"/>
        <v>0</v>
      </c>
      <c r="Q108" t="str">
        <f t="shared" si="10"/>
        <v>Correct</v>
      </c>
    </row>
    <row r="109" spans="1:17" x14ac:dyDescent="0.3">
      <c r="A109" t="s">
        <v>130</v>
      </c>
      <c r="B109" s="2">
        <v>46243</v>
      </c>
      <c r="C109" s="3">
        <v>1.37</v>
      </c>
      <c r="D109" s="3">
        <v>12.15</v>
      </c>
      <c r="E109" s="3">
        <v>3.91</v>
      </c>
      <c r="F109" s="4">
        <v>0</v>
      </c>
      <c r="G109" s="5">
        <v>15109.51</v>
      </c>
      <c r="H109" t="s">
        <v>24</v>
      </c>
      <c r="I109" t="s">
        <v>26</v>
      </c>
      <c r="J109" t="s">
        <v>21</v>
      </c>
      <c r="K109" t="s">
        <v>131</v>
      </c>
      <c r="L109" s="3">
        <f t="shared" si="11"/>
        <v>17.43</v>
      </c>
      <c r="M109" s="3">
        <f t="shared" si="6"/>
        <v>17.43</v>
      </c>
      <c r="N109" t="b">
        <f t="shared" si="7"/>
        <v>0</v>
      </c>
      <c r="O109">
        <f t="shared" si="8"/>
        <v>0</v>
      </c>
      <c r="P109" s="3">
        <f t="shared" si="9"/>
        <v>0</v>
      </c>
      <c r="Q109" t="str">
        <f t="shared" si="10"/>
        <v>Correct</v>
      </c>
    </row>
    <row r="110" spans="1:17" x14ac:dyDescent="0.3">
      <c r="A110" t="s">
        <v>132</v>
      </c>
      <c r="B110" s="2">
        <v>46251</v>
      </c>
      <c r="C110" s="3">
        <v>0.69</v>
      </c>
      <c r="D110" s="3">
        <v>4.08</v>
      </c>
      <c r="E110" s="3">
        <v>5.75</v>
      </c>
      <c r="F110" s="4">
        <v>1</v>
      </c>
      <c r="G110" s="5">
        <v>35873.839999999997</v>
      </c>
      <c r="H110" t="s">
        <v>13</v>
      </c>
      <c r="I110" t="s">
        <v>26</v>
      </c>
      <c r="J110" t="s">
        <v>15</v>
      </c>
      <c r="L110" s="3">
        <f t="shared" si="11"/>
        <v>10.52</v>
      </c>
      <c r="M110" s="3">
        <f t="shared" si="6"/>
        <v>10.52</v>
      </c>
      <c r="N110" t="b">
        <f t="shared" si="7"/>
        <v>0</v>
      </c>
      <c r="O110">
        <f t="shared" si="8"/>
        <v>1</v>
      </c>
      <c r="P110" s="3">
        <f t="shared" si="9"/>
        <v>0</v>
      </c>
      <c r="Q110" t="str">
        <f t="shared" si="10"/>
        <v>Correct</v>
      </c>
    </row>
    <row r="111" spans="1:17" x14ac:dyDescent="0.3">
      <c r="A111" t="s">
        <v>133</v>
      </c>
      <c r="B111" s="2">
        <v>46252</v>
      </c>
      <c r="C111" s="3">
        <v>3.31</v>
      </c>
      <c r="D111" s="3">
        <v>1.28</v>
      </c>
      <c r="E111" s="3">
        <v>4.83</v>
      </c>
      <c r="F111" s="4">
        <v>0</v>
      </c>
      <c r="G111" s="5">
        <v>14108.14</v>
      </c>
      <c r="H111" t="s">
        <v>24</v>
      </c>
      <c r="I111" t="s">
        <v>20</v>
      </c>
      <c r="J111" t="s">
        <v>18</v>
      </c>
      <c r="L111" s="3">
        <f t="shared" si="11"/>
        <v>9.42</v>
      </c>
      <c r="M111" s="3">
        <f t="shared" si="6"/>
        <v>9.42</v>
      </c>
      <c r="N111" t="b">
        <f t="shared" si="7"/>
        <v>0</v>
      </c>
      <c r="O111">
        <f t="shared" si="8"/>
        <v>1</v>
      </c>
      <c r="P111" s="3">
        <f t="shared" si="9"/>
        <v>0</v>
      </c>
      <c r="Q111" t="str">
        <f t="shared" si="10"/>
        <v>Correct</v>
      </c>
    </row>
    <row r="112" spans="1:17" x14ac:dyDescent="0.3">
      <c r="A112" t="s">
        <v>134</v>
      </c>
      <c r="B112" s="2">
        <v>46251</v>
      </c>
      <c r="C112" s="3">
        <v>1.76</v>
      </c>
      <c r="D112" s="3">
        <v>3.85</v>
      </c>
      <c r="E112" s="3">
        <v>6.16</v>
      </c>
      <c r="F112" s="4">
        <v>1</v>
      </c>
      <c r="G112" s="5">
        <v>6100.93</v>
      </c>
      <c r="H112" t="s">
        <v>24</v>
      </c>
      <c r="I112" t="s">
        <v>17</v>
      </c>
      <c r="J112" t="s">
        <v>18</v>
      </c>
      <c r="L112" s="3">
        <f t="shared" si="11"/>
        <v>11.77</v>
      </c>
      <c r="M112" s="3">
        <f t="shared" si="6"/>
        <v>11.77</v>
      </c>
      <c r="N112" t="b">
        <f t="shared" si="7"/>
        <v>0</v>
      </c>
      <c r="O112">
        <f t="shared" si="8"/>
        <v>1</v>
      </c>
      <c r="P112" s="3">
        <f t="shared" si="9"/>
        <v>0</v>
      </c>
      <c r="Q112" t="str">
        <f t="shared" si="10"/>
        <v>Correct</v>
      </c>
    </row>
    <row r="113" spans="1:17" x14ac:dyDescent="0.3">
      <c r="A113" t="s">
        <v>135</v>
      </c>
      <c r="B113" s="2">
        <v>46275</v>
      </c>
      <c r="C113" s="3">
        <v>0.7</v>
      </c>
      <c r="D113" s="3">
        <v>3.16</v>
      </c>
      <c r="E113" s="3">
        <v>1.1299999999999999</v>
      </c>
      <c r="F113" s="4">
        <v>0</v>
      </c>
      <c r="G113" s="5">
        <v>14336.83</v>
      </c>
      <c r="H113" t="s">
        <v>24</v>
      </c>
      <c r="I113" t="s">
        <v>26</v>
      </c>
      <c r="J113" t="s">
        <v>18</v>
      </c>
      <c r="L113" s="3">
        <f t="shared" si="11"/>
        <v>4.99</v>
      </c>
      <c r="M113" s="3">
        <f t="shared" si="6"/>
        <v>4.99</v>
      </c>
      <c r="N113" t="b">
        <f t="shared" si="7"/>
        <v>0</v>
      </c>
      <c r="O113">
        <f t="shared" si="8"/>
        <v>1</v>
      </c>
      <c r="P113" s="3">
        <f t="shared" si="9"/>
        <v>0</v>
      </c>
      <c r="Q113" t="str">
        <f t="shared" si="10"/>
        <v>Correct</v>
      </c>
    </row>
    <row r="114" spans="1:17" x14ac:dyDescent="0.3">
      <c r="A114" t="s">
        <v>136</v>
      </c>
      <c r="B114" s="2">
        <v>46289</v>
      </c>
      <c r="C114" s="3">
        <v>2.96</v>
      </c>
      <c r="D114" s="3">
        <v>28.52</v>
      </c>
      <c r="E114" s="3">
        <v>0.25</v>
      </c>
      <c r="F114" s="4">
        <v>0</v>
      </c>
      <c r="G114" s="5">
        <v>42664.12</v>
      </c>
      <c r="H114" t="s">
        <v>13</v>
      </c>
      <c r="I114" t="s">
        <v>17</v>
      </c>
      <c r="J114" t="s">
        <v>18</v>
      </c>
      <c r="L114" s="3">
        <f t="shared" si="11"/>
        <v>31.73</v>
      </c>
      <c r="M114" s="3">
        <f t="shared" si="6"/>
        <v>31.73</v>
      </c>
      <c r="N114" t="b">
        <f t="shared" si="7"/>
        <v>0</v>
      </c>
      <c r="O114">
        <f t="shared" si="8"/>
        <v>1</v>
      </c>
      <c r="P114" s="3">
        <f t="shared" si="9"/>
        <v>0</v>
      </c>
      <c r="Q114" t="str">
        <f t="shared" si="10"/>
        <v>Correct</v>
      </c>
    </row>
    <row r="115" spans="1:17" x14ac:dyDescent="0.3">
      <c r="A115" t="s">
        <v>137</v>
      </c>
      <c r="B115" s="2">
        <v>46289</v>
      </c>
      <c r="C115" s="3">
        <v>1.23</v>
      </c>
      <c r="D115" s="3">
        <v>5.54</v>
      </c>
      <c r="E115" s="3">
        <v>2.87</v>
      </c>
      <c r="F115" s="4">
        <v>1</v>
      </c>
      <c r="G115" s="5">
        <v>15155.31</v>
      </c>
      <c r="H115" t="s">
        <v>13</v>
      </c>
      <c r="I115" t="s">
        <v>14</v>
      </c>
      <c r="J115" t="s">
        <v>18</v>
      </c>
      <c r="L115" s="3">
        <f t="shared" si="11"/>
        <v>9.64</v>
      </c>
      <c r="M115" s="3">
        <f t="shared" si="6"/>
        <v>9.64</v>
      </c>
      <c r="N115" t="b">
        <f t="shared" si="7"/>
        <v>0</v>
      </c>
      <c r="O115">
        <f t="shared" si="8"/>
        <v>1</v>
      </c>
      <c r="P115" s="3">
        <f t="shared" si="9"/>
        <v>0</v>
      </c>
      <c r="Q115" t="str">
        <f t="shared" si="10"/>
        <v>Correct</v>
      </c>
    </row>
    <row r="116" spans="1:17" x14ac:dyDescent="0.3">
      <c r="A116" t="s">
        <v>138</v>
      </c>
      <c r="B116" s="2">
        <v>46279</v>
      </c>
      <c r="C116" s="3">
        <v>2.87</v>
      </c>
      <c r="D116" s="3">
        <v>8.0299999999999994</v>
      </c>
      <c r="E116" s="3">
        <v>1</v>
      </c>
      <c r="F116" s="4">
        <v>0</v>
      </c>
      <c r="G116" s="5">
        <v>6112.8</v>
      </c>
      <c r="H116" t="s">
        <v>24</v>
      </c>
      <c r="I116" t="s">
        <v>26</v>
      </c>
      <c r="J116" t="s">
        <v>18</v>
      </c>
      <c r="L116" s="3">
        <f t="shared" si="11"/>
        <v>11.899999999999999</v>
      </c>
      <c r="M116" s="3">
        <f t="shared" si="6"/>
        <v>11.899999999999999</v>
      </c>
      <c r="N116" t="b">
        <f t="shared" si="7"/>
        <v>0</v>
      </c>
      <c r="O116">
        <f t="shared" si="8"/>
        <v>1</v>
      </c>
      <c r="P116" s="3">
        <f t="shared" si="9"/>
        <v>0</v>
      </c>
      <c r="Q116" t="str">
        <f t="shared" si="10"/>
        <v>Correct</v>
      </c>
    </row>
    <row r="117" spans="1:17" x14ac:dyDescent="0.3">
      <c r="A117" t="s">
        <v>139</v>
      </c>
      <c r="B117" s="2">
        <v>46247</v>
      </c>
      <c r="C117" s="3">
        <v>1.07</v>
      </c>
      <c r="D117" s="3">
        <v>3.82</v>
      </c>
      <c r="E117" s="3">
        <v>2.71</v>
      </c>
      <c r="F117" s="4">
        <v>0</v>
      </c>
      <c r="G117" s="5">
        <v>54617.84</v>
      </c>
      <c r="H117" t="s">
        <v>13</v>
      </c>
      <c r="I117" t="s">
        <v>20</v>
      </c>
      <c r="J117" t="s">
        <v>18</v>
      </c>
      <c r="L117" s="3">
        <f t="shared" si="11"/>
        <v>7.6</v>
      </c>
      <c r="M117" s="3">
        <f t="shared" si="6"/>
        <v>7.6</v>
      </c>
      <c r="N117" t="b">
        <f t="shared" si="7"/>
        <v>0</v>
      </c>
      <c r="O117">
        <f t="shared" si="8"/>
        <v>1</v>
      </c>
      <c r="P117" s="3">
        <f t="shared" si="9"/>
        <v>0</v>
      </c>
      <c r="Q117" t="str">
        <f t="shared" si="10"/>
        <v>Correct</v>
      </c>
    </row>
    <row r="118" spans="1:17" x14ac:dyDescent="0.3">
      <c r="A118" t="s">
        <v>140</v>
      </c>
      <c r="B118" s="2">
        <v>46292</v>
      </c>
      <c r="C118" s="3">
        <v>2.4700000000000002</v>
      </c>
      <c r="D118" s="3">
        <v>3.47</v>
      </c>
      <c r="E118" s="3">
        <v>2.68</v>
      </c>
      <c r="F118" s="4">
        <v>0</v>
      </c>
      <c r="G118" s="5">
        <v>12927.42</v>
      </c>
      <c r="H118" t="s">
        <v>13</v>
      </c>
      <c r="I118" t="s">
        <v>14</v>
      </c>
      <c r="J118" t="s">
        <v>18</v>
      </c>
      <c r="L118" s="3">
        <f t="shared" si="11"/>
        <v>8.620000000000001</v>
      </c>
      <c r="M118" s="3">
        <f t="shared" si="6"/>
        <v>8.620000000000001</v>
      </c>
      <c r="N118" t="b">
        <f t="shared" si="7"/>
        <v>0</v>
      </c>
      <c r="O118">
        <f t="shared" si="8"/>
        <v>1</v>
      </c>
      <c r="P118" s="3">
        <f t="shared" si="9"/>
        <v>0</v>
      </c>
      <c r="Q118" t="str">
        <f t="shared" si="10"/>
        <v>Correct</v>
      </c>
    </row>
    <row r="119" spans="1:17" x14ac:dyDescent="0.3">
      <c r="A119" t="s">
        <v>141</v>
      </c>
      <c r="B119" s="2">
        <v>46267</v>
      </c>
      <c r="C119" s="3">
        <v>1.19</v>
      </c>
      <c r="D119" s="3">
        <v>0.91</v>
      </c>
      <c r="E119" s="3">
        <v>3.66</v>
      </c>
      <c r="F119" s="4">
        <v>1</v>
      </c>
      <c r="G119" s="5">
        <v>10214.620000000001</v>
      </c>
      <c r="H119" t="s">
        <v>24</v>
      </c>
      <c r="I119" t="s">
        <v>14</v>
      </c>
      <c r="J119" t="s">
        <v>18</v>
      </c>
      <c r="L119" s="3">
        <f t="shared" si="11"/>
        <v>5.76</v>
      </c>
      <c r="M119" s="3">
        <f t="shared" si="6"/>
        <v>5.76</v>
      </c>
      <c r="N119" t="b">
        <f t="shared" si="7"/>
        <v>0</v>
      </c>
      <c r="O119">
        <f t="shared" si="8"/>
        <v>1</v>
      </c>
      <c r="P119" s="3">
        <f t="shared" si="9"/>
        <v>0</v>
      </c>
      <c r="Q119" t="str">
        <f t="shared" si="10"/>
        <v>Correct</v>
      </c>
    </row>
    <row r="120" spans="1:17" x14ac:dyDescent="0.3">
      <c r="A120" t="s">
        <v>142</v>
      </c>
      <c r="B120" s="2">
        <v>46267</v>
      </c>
      <c r="C120" s="3">
        <v>3.31</v>
      </c>
      <c r="D120" s="3">
        <v>20.69</v>
      </c>
      <c r="E120" s="3">
        <v>3.6</v>
      </c>
      <c r="F120" s="4">
        <v>0</v>
      </c>
      <c r="G120" s="5">
        <v>5353.31</v>
      </c>
      <c r="H120" t="s">
        <v>24</v>
      </c>
      <c r="I120" t="s">
        <v>17</v>
      </c>
      <c r="J120" t="s">
        <v>21</v>
      </c>
      <c r="K120" t="s">
        <v>22</v>
      </c>
      <c r="L120" s="3">
        <f t="shared" si="11"/>
        <v>27.6</v>
      </c>
      <c r="M120" s="3">
        <f t="shared" si="6"/>
        <v>27.6</v>
      </c>
      <c r="N120" t="b">
        <f t="shared" si="7"/>
        <v>0</v>
      </c>
      <c r="O120">
        <f t="shared" si="8"/>
        <v>0</v>
      </c>
      <c r="P120" s="3">
        <f t="shared" si="9"/>
        <v>0</v>
      </c>
      <c r="Q120" t="str">
        <f t="shared" si="10"/>
        <v>Correct</v>
      </c>
    </row>
    <row r="121" spans="1:17" x14ac:dyDescent="0.3">
      <c r="A121" t="s">
        <v>143</v>
      </c>
      <c r="B121" s="2">
        <v>46277</v>
      </c>
      <c r="C121" s="3">
        <v>0.25</v>
      </c>
      <c r="D121" s="3">
        <v>9.7899999999999991</v>
      </c>
      <c r="E121" s="3">
        <v>13.01</v>
      </c>
      <c r="F121" s="4">
        <v>2</v>
      </c>
      <c r="G121" s="5">
        <v>12432.12</v>
      </c>
      <c r="H121" t="s">
        <v>24</v>
      </c>
      <c r="I121" t="s">
        <v>14</v>
      </c>
      <c r="J121" t="s">
        <v>21</v>
      </c>
      <c r="K121" t="s">
        <v>22</v>
      </c>
      <c r="L121" s="3">
        <f t="shared" si="11"/>
        <v>23.049999999999997</v>
      </c>
      <c r="M121" s="3">
        <f t="shared" si="6"/>
        <v>23.049999999999997</v>
      </c>
      <c r="N121" t="b">
        <f t="shared" si="7"/>
        <v>0</v>
      </c>
      <c r="O121">
        <f t="shared" si="8"/>
        <v>0</v>
      </c>
      <c r="P121" s="3">
        <f t="shared" si="9"/>
        <v>0</v>
      </c>
      <c r="Q121" t="str">
        <f t="shared" si="10"/>
        <v>Correct</v>
      </c>
    </row>
    <row r="122" spans="1:17" x14ac:dyDescent="0.3">
      <c r="A122" t="s">
        <v>144</v>
      </c>
      <c r="B122" s="2">
        <v>46281</v>
      </c>
      <c r="C122" s="3">
        <v>0.51</v>
      </c>
      <c r="D122" s="3">
        <v>6.26</v>
      </c>
      <c r="E122" s="3">
        <v>2.15</v>
      </c>
      <c r="F122" s="4">
        <v>0</v>
      </c>
      <c r="G122" s="5">
        <v>45550.84</v>
      </c>
      <c r="H122" t="s">
        <v>13</v>
      </c>
      <c r="I122" t="s">
        <v>14</v>
      </c>
      <c r="J122" t="s">
        <v>18</v>
      </c>
      <c r="L122" s="3">
        <f t="shared" si="11"/>
        <v>8.92</v>
      </c>
      <c r="M122" s="3">
        <f t="shared" si="6"/>
        <v>8.92</v>
      </c>
      <c r="N122" t="b">
        <f t="shared" si="7"/>
        <v>0</v>
      </c>
      <c r="O122">
        <f t="shared" si="8"/>
        <v>1</v>
      </c>
      <c r="P122" s="3">
        <f t="shared" si="9"/>
        <v>0</v>
      </c>
      <c r="Q122" t="str">
        <f t="shared" si="10"/>
        <v>Correct</v>
      </c>
    </row>
    <row r="123" spans="1:17" x14ac:dyDescent="0.3">
      <c r="A123" t="s">
        <v>145</v>
      </c>
      <c r="B123" s="2">
        <v>46292</v>
      </c>
      <c r="C123" s="3">
        <v>1.47</v>
      </c>
      <c r="D123" s="3">
        <v>3.3</v>
      </c>
      <c r="E123" s="3">
        <v>4.7</v>
      </c>
      <c r="F123" s="4">
        <v>1</v>
      </c>
      <c r="G123" s="5">
        <v>10387.719999999999</v>
      </c>
      <c r="H123" t="s">
        <v>24</v>
      </c>
      <c r="I123" t="s">
        <v>14</v>
      </c>
      <c r="J123" t="s">
        <v>18</v>
      </c>
      <c r="L123" s="3">
        <f t="shared" si="11"/>
        <v>9.4699999999999989</v>
      </c>
      <c r="M123" s="3">
        <f t="shared" si="6"/>
        <v>9.4699999999999989</v>
      </c>
      <c r="N123" t="b">
        <f t="shared" si="7"/>
        <v>0</v>
      </c>
      <c r="O123">
        <f t="shared" si="8"/>
        <v>1</v>
      </c>
      <c r="P123" s="3">
        <f t="shared" si="9"/>
        <v>0</v>
      </c>
      <c r="Q123" t="str">
        <f t="shared" si="10"/>
        <v>Correct</v>
      </c>
    </row>
    <row r="124" spans="1:17" x14ac:dyDescent="0.3">
      <c r="A124" t="s">
        <v>146</v>
      </c>
      <c r="B124" s="2">
        <v>46269</v>
      </c>
      <c r="C124" s="3">
        <v>0.91</v>
      </c>
      <c r="D124" s="3">
        <v>5.7</v>
      </c>
      <c r="E124" s="3">
        <v>5.0599999999999996</v>
      </c>
      <c r="F124" s="4">
        <v>1</v>
      </c>
      <c r="G124" s="5">
        <v>46990.65</v>
      </c>
      <c r="H124" t="s">
        <v>13</v>
      </c>
      <c r="I124" t="s">
        <v>26</v>
      </c>
      <c r="J124" t="s">
        <v>18</v>
      </c>
      <c r="L124" s="3">
        <f t="shared" si="11"/>
        <v>11.67</v>
      </c>
      <c r="M124" s="3">
        <f t="shared" si="6"/>
        <v>11.67</v>
      </c>
      <c r="N124" t="b">
        <f t="shared" si="7"/>
        <v>0</v>
      </c>
      <c r="O124">
        <f t="shared" si="8"/>
        <v>1</v>
      </c>
      <c r="P124" s="3">
        <f t="shared" si="9"/>
        <v>0</v>
      </c>
      <c r="Q124" t="str">
        <f t="shared" si="10"/>
        <v>Correct</v>
      </c>
    </row>
    <row r="125" spans="1:17" x14ac:dyDescent="0.3">
      <c r="A125" t="s">
        <v>147</v>
      </c>
      <c r="B125" s="2">
        <v>46271</v>
      </c>
      <c r="C125" s="3">
        <v>1.1599999999999999</v>
      </c>
      <c r="D125" s="3">
        <v>2.0299999999999998</v>
      </c>
      <c r="E125" s="3">
        <v>1.58</v>
      </c>
      <c r="F125" s="4">
        <v>0</v>
      </c>
      <c r="G125" s="5">
        <v>8584.48</v>
      </c>
      <c r="H125" t="s">
        <v>24</v>
      </c>
      <c r="I125" t="s">
        <v>17</v>
      </c>
      <c r="J125" t="s">
        <v>18</v>
      </c>
      <c r="L125" s="3">
        <f t="shared" si="11"/>
        <v>4.7699999999999996</v>
      </c>
      <c r="M125" s="3">
        <f t="shared" si="6"/>
        <v>4.7699999999999996</v>
      </c>
      <c r="N125" t="b">
        <f t="shared" si="7"/>
        <v>0</v>
      </c>
      <c r="O125">
        <f t="shared" si="8"/>
        <v>1</v>
      </c>
      <c r="P125" s="3">
        <f t="shared" si="9"/>
        <v>0</v>
      </c>
      <c r="Q125" t="str">
        <f t="shared" si="10"/>
        <v>Correct</v>
      </c>
    </row>
    <row r="126" spans="1:17" x14ac:dyDescent="0.3">
      <c r="A126" t="s">
        <v>148</v>
      </c>
      <c r="B126" s="2">
        <v>46279</v>
      </c>
      <c r="C126" s="3">
        <v>2.68</v>
      </c>
      <c r="D126" s="3">
        <v>7.43</v>
      </c>
      <c r="E126" s="3">
        <v>3.94</v>
      </c>
      <c r="F126" s="4">
        <v>0</v>
      </c>
      <c r="G126" s="5">
        <v>161282.06</v>
      </c>
      <c r="H126" t="s">
        <v>13</v>
      </c>
      <c r="I126" t="s">
        <v>26</v>
      </c>
      <c r="J126" t="s">
        <v>18</v>
      </c>
      <c r="L126" s="3">
        <f t="shared" si="11"/>
        <v>14.049999999999999</v>
      </c>
      <c r="M126" s="3">
        <f t="shared" si="6"/>
        <v>14.049999999999999</v>
      </c>
      <c r="N126" t="b">
        <f t="shared" si="7"/>
        <v>0</v>
      </c>
      <c r="O126">
        <f t="shared" si="8"/>
        <v>1</v>
      </c>
      <c r="P126" s="3">
        <f t="shared" si="9"/>
        <v>0</v>
      </c>
      <c r="Q126" t="str">
        <f t="shared" si="10"/>
        <v>Correct</v>
      </c>
    </row>
    <row r="127" spans="1:17" x14ac:dyDescent="0.3">
      <c r="A127" t="s">
        <v>149</v>
      </c>
      <c r="B127" s="2">
        <v>46250</v>
      </c>
      <c r="C127" s="3">
        <v>1.1399999999999999</v>
      </c>
      <c r="D127" s="3">
        <v>15.3</v>
      </c>
      <c r="E127" s="3">
        <v>2.0699999999999998</v>
      </c>
      <c r="F127" s="4">
        <v>0</v>
      </c>
      <c r="G127" s="5">
        <v>6030.71</v>
      </c>
      <c r="H127" t="s">
        <v>24</v>
      </c>
      <c r="I127" t="s">
        <v>17</v>
      </c>
      <c r="J127" t="s">
        <v>18</v>
      </c>
      <c r="L127" s="3">
        <f t="shared" si="11"/>
        <v>18.510000000000002</v>
      </c>
      <c r="M127" s="3">
        <f t="shared" si="6"/>
        <v>18.510000000000002</v>
      </c>
      <c r="N127" t="b">
        <f t="shared" si="7"/>
        <v>0</v>
      </c>
      <c r="O127">
        <f t="shared" si="8"/>
        <v>1</v>
      </c>
      <c r="P127" s="3">
        <f t="shared" si="9"/>
        <v>0</v>
      </c>
      <c r="Q127" t="str">
        <f t="shared" si="10"/>
        <v>Correct</v>
      </c>
    </row>
    <row r="128" spans="1:17" x14ac:dyDescent="0.3">
      <c r="A128" t="s">
        <v>150</v>
      </c>
      <c r="B128" s="2">
        <v>46253</v>
      </c>
      <c r="C128" s="3">
        <v>2.13</v>
      </c>
      <c r="D128" s="3">
        <v>21.33</v>
      </c>
      <c r="E128" s="3">
        <v>2.4</v>
      </c>
      <c r="F128" s="4">
        <v>1</v>
      </c>
      <c r="G128" s="5">
        <v>23415.759999999998</v>
      </c>
      <c r="H128" t="s">
        <v>13</v>
      </c>
      <c r="I128" t="s">
        <v>17</v>
      </c>
      <c r="J128" t="s">
        <v>18</v>
      </c>
      <c r="L128" s="3">
        <f t="shared" si="11"/>
        <v>25.859999999999996</v>
      </c>
      <c r="M128" s="3">
        <f t="shared" si="6"/>
        <v>25.859999999999996</v>
      </c>
      <c r="N128" t="b">
        <f t="shared" si="7"/>
        <v>0</v>
      </c>
      <c r="O128">
        <f t="shared" si="8"/>
        <v>1</v>
      </c>
      <c r="P128" s="3">
        <f t="shared" si="9"/>
        <v>0</v>
      </c>
      <c r="Q128" t="str">
        <f t="shared" si="10"/>
        <v>Correct</v>
      </c>
    </row>
    <row r="129" spans="1:17" x14ac:dyDescent="0.3">
      <c r="A129" t="s">
        <v>151</v>
      </c>
      <c r="B129" s="2">
        <v>46272</v>
      </c>
      <c r="C129" s="3">
        <v>0.75</v>
      </c>
      <c r="D129" s="3">
        <v>0.95</v>
      </c>
      <c r="E129" s="3">
        <v>3.41</v>
      </c>
      <c r="F129" s="4">
        <v>1</v>
      </c>
      <c r="G129" s="5">
        <v>9957.11</v>
      </c>
      <c r="H129" t="s">
        <v>24</v>
      </c>
      <c r="I129" t="s">
        <v>26</v>
      </c>
      <c r="J129" t="s">
        <v>18</v>
      </c>
      <c r="L129" s="3">
        <f t="shared" si="11"/>
        <v>5.1100000000000003</v>
      </c>
      <c r="M129" s="3">
        <f t="shared" si="6"/>
        <v>5.1100000000000003</v>
      </c>
      <c r="N129" t="b">
        <f t="shared" si="7"/>
        <v>0</v>
      </c>
      <c r="O129">
        <f t="shared" si="8"/>
        <v>1</v>
      </c>
      <c r="P129" s="3">
        <f t="shared" si="9"/>
        <v>0</v>
      </c>
      <c r="Q129" t="str">
        <f t="shared" si="10"/>
        <v>Correct</v>
      </c>
    </row>
    <row r="130" spans="1:17" x14ac:dyDescent="0.3">
      <c r="A130" t="s">
        <v>152</v>
      </c>
      <c r="B130" s="2">
        <v>46238</v>
      </c>
      <c r="C130" s="3">
        <v>0.25</v>
      </c>
      <c r="D130" s="3">
        <v>7.98</v>
      </c>
      <c r="E130" s="3">
        <v>4.95</v>
      </c>
      <c r="F130" s="4">
        <v>0</v>
      </c>
      <c r="G130" s="5">
        <v>16049.37</v>
      </c>
      <c r="H130" t="s">
        <v>24</v>
      </c>
      <c r="I130" t="s">
        <v>26</v>
      </c>
      <c r="J130" t="s">
        <v>18</v>
      </c>
      <c r="L130" s="3">
        <f t="shared" si="11"/>
        <v>13.18</v>
      </c>
      <c r="M130" s="3">
        <f t="shared" ref="M130:M193" si="12">SUM(C130:E130)</f>
        <v>13.18</v>
      </c>
      <c r="N130" t="b">
        <f t="shared" ref="N130:N193" si="13">COUNTIF(A:A,A130)&gt;1</f>
        <v>0</v>
      </c>
      <c r="O130">
        <f t="shared" ref="O130:O193" si="14">COUNTBLANK(A130:L130)</f>
        <v>1</v>
      </c>
      <c r="P130" s="3">
        <f t="shared" ref="P130:P193" si="15">COUNTBLANK(A130:J130)+COUNTBLANK(L130)</f>
        <v>0</v>
      </c>
      <c r="Q130" t="str">
        <f t="shared" ref="Q130:Q193" si="16">IF(L130=M130,"Correct","Mismatch")</f>
        <v>Correct</v>
      </c>
    </row>
    <row r="131" spans="1:17" x14ac:dyDescent="0.3">
      <c r="A131" t="s">
        <v>153</v>
      </c>
      <c r="B131" s="2">
        <v>46254</v>
      </c>
      <c r="C131" s="3">
        <v>2.86</v>
      </c>
      <c r="D131" s="3">
        <v>1.67</v>
      </c>
      <c r="E131" s="3">
        <v>6.65</v>
      </c>
      <c r="F131" s="4">
        <v>3</v>
      </c>
      <c r="G131" s="5">
        <v>27181.9</v>
      </c>
      <c r="H131" t="s">
        <v>13</v>
      </c>
      <c r="I131" t="s">
        <v>14</v>
      </c>
      <c r="J131" t="s">
        <v>18</v>
      </c>
      <c r="L131" s="3">
        <f t="shared" ref="L131:L194" si="17">SUM(C131:E131)</f>
        <v>11.18</v>
      </c>
      <c r="M131" s="3">
        <f t="shared" si="12"/>
        <v>11.18</v>
      </c>
      <c r="N131" t="b">
        <f t="shared" si="13"/>
        <v>0</v>
      </c>
      <c r="O131">
        <f t="shared" si="14"/>
        <v>1</v>
      </c>
      <c r="P131" s="3">
        <f t="shared" si="15"/>
        <v>0</v>
      </c>
      <c r="Q131" t="str">
        <f t="shared" si="16"/>
        <v>Correct</v>
      </c>
    </row>
    <row r="132" spans="1:17" x14ac:dyDescent="0.3">
      <c r="A132" t="s">
        <v>154</v>
      </c>
      <c r="B132" s="2">
        <v>46278</v>
      </c>
      <c r="C132" s="3">
        <v>5.28</v>
      </c>
      <c r="D132" s="3">
        <v>0.57999999999999996</v>
      </c>
      <c r="E132" s="3">
        <v>2.84</v>
      </c>
      <c r="F132" s="4">
        <v>1</v>
      </c>
      <c r="G132" s="5">
        <v>20582.189999999999</v>
      </c>
      <c r="H132" t="s">
        <v>13</v>
      </c>
      <c r="I132" t="s">
        <v>26</v>
      </c>
      <c r="J132" t="s">
        <v>18</v>
      </c>
      <c r="L132" s="3">
        <f t="shared" si="17"/>
        <v>8.6999999999999993</v>
      </c>
      <c r="M132" s="3">
        <f t="shared" si="12"/>
        <v>8.6999999999999993</v>
      </c>
      <c r="N132" t="b">
        <f t="shared" si="13"/>
        <v>0</v>
      </c>
      <c r="O132">
        <f t="shared" si="14"/>
        <v>1</v>
      </c>
      <c r="P132" s="3">
        <f t="shared" si="15"/>
        <v>0</v>
      </c>
      <c r="Q132" t="str">
        <f t="shared" si="16"/>
        <v>Correct</v>
      </c>
    </row>
    <row r="133" spans="1:17" x14ac:dyDescent="0.3">
      <c r="A133" t="s">
        <v>155</v>
      </c>
      <c r="B133" s="2">
        <v>46293</v>
      </c>
      <c r="C133" s="3">
        <v>1.96</v>
      </c>
      <c r="D133" s="3">
        <v>11.04</v>
      </c>
      <c r="E133" s="3">
        <v>5.58</v>
      </c>
      <c r="F133" s="4">
        <v>1</v>
      </c>
      <c r="G133" s="5">
        <v>129367.75</v>
      </c>
      <c r="H133" t="s">
        <v>13</v>
      </c>
      <c r="I133" t="s">
        <v>20</v>
      </c>
      <c r="J133" t="s">
        <v>18</v>
      </c>
      <c r="L133" s="3">
        <f t="shared" si="17"/>
        <v>18.579999999999998</v>
      </c>
      <c r="M133" s="3">
        <f t="shared" si="12"/>
        <v>18.579999999999998</v>
      </c>
      <c r="N133" t="b">
        <f t="shared" si="13"/>
        <v>0</v>
      </c>
      <c r="O133">
        <f t="shared" si="14"/>
        <v>1</v>
      </c>
      <c r="P133" s="3">
        <f t="shared" si="15"/>
        <v>0</v>
      </c>
      <c r="Q133" t="str">
        <f t="shared" si="16"/>
        <v>Correct</v>
      </c>
    </row>
    <row r="134" spans="1:17" x14ac:dyDescent="0.3">
      <c r="A134" t="s">
        <v>156</v>
      </c>
      <c r="B134" s="2">
        <v>46266</v>
      </c>
      <c r="C134" s="3">
        <v>1.54</v>
      </c>
      <c r="D134" s="3">
        <v>2.66</v>
      </c>
      <c r="E134" s="3">
        <v>5.03</v>
      </c>
      <c r="F134" s="4">
        <v>1</v>
      </c>
      <c r="G134" s="5">
        <v>10076.709999999999</v>
      </c>
      <c r="H134" t="s">
        <v>24</v>
      </c>
      <c r="I134" t="s">
        <v>14</v>
      </c>
      <c r="J134" t="s">
        <v>18</v>
      </c>
      <c r="L134" s="3">
        <f t="shared" si="17"/>
        <v>9.23</v>
      </c>
      <c r="M134" s="3">
        <f t="shared" si="12"/>
        <v>9.23</v>
      </c>
      <c r="N134" t="b">
        <f t="shared" si="13"/>
        <v>0</v>
      </c>
      <c r="O134">
        <f t="shared" si="14"/>
        <v>1</v>
      </c>
      <c r="P134" s="3">
        <f t="shared" si="15"/>
        <v>0</v>
      </c>
      <c r="Q134" t="str">
        <f t="shared" si="16"/>
        <v>Correct</v>
      </c>
    </row>
    <row r="135" spans="1:17" x14ac:dyDescent="0.3">
      <c r="A135" t="s">
        <v>157</v>
      </c>
      <c r="B135" s="2">
        <v>46258</v>
      </c>
      <c r="C135" s="3">
        <v>1.81</v>
      </c>
      <c r="D135" s="3">
        <v>12.27</v>
      </c>
      <c r="E135" s="3">
        <v>3.17</v>
      </c>
      <c r="F135" s="4">
        <v>0</v>
      </c>
      <c r="G135" s="5">
        <v>5350.43</v>
      </c>
      <c r="H135" t="s">
        <v>24</v>
      </c>
      <c r="I135" t="s">
        <v>17</v>
      </c>
      <c r="J135" t="s">
        <v>18</v>
      </c>
      <c r="L135" s="3">
        <f t="shared" si="17"/>
        <v>17.25</v>
      </c>
      <c r="M135" s="3">
        <f t="shared" si="12"/>
        <v>17.25</v>
      </c>
      <c r="N135" t="b">
        <f t="shared" si="13"/>
        <v>0</v>
      </c>
      <c r="O135">
        <f t="shared" si="14"/>
        <v>1</v>
      </c>
      <c r="P135" s="3">
        <f t="shared" si="15"/>
        <v>0</v>
      </c>
      <c r="Q135" t="str">
        <f t="shared" si="16"/>
        <v>Correct</v>
      </c>
    </row>
    <row r="136" spans="1:17" x14ac:dyDescent="0.3">
      <c r="A136" t="s">
        <v>158</v>
      </c>
      <c r="B136" s="2">
        <v>46261</v>
      </c>
      <c r="C136" s="3">
        <v>4.1500000000000004</v>
      </c>
      <c r="D136" s="3">
        <v>7</v>
      </c>
      <c r="E136" s="3">
        <v>1.55</v>
      </c>
      <c r="F136" s="4">
        <v>0</v>
      </c>
      <c r="G136" s="5">
        <v>8010.41</v>
      </c>
      <c r="H136" t="s">
        <v>24</v>
      </c>
      <c r="I136" t="s">
        <v>14</v>
      </c>
      <c r="J136" t="s">
        <v>18</v>
      </c>
      <c r="L136" s="3">
        <f t="shared" si="17"/>
        <v>12.700000000000001</v>
      </c>
      <c r="M136" s="3">
        <f t="shared" si="12"/>
        <v>12.700000000000001</v>
      </c>
      <c r="N136" t="b">
        <f t="shared" si="13"/>
        <v>0</v>
      </c>
      <c r="O136">
        <f t="shared" si="14"/>
        <v>1</v>
      </c>
      <c r="P136" s="3">
        <f t="shared" si="15"/>
        <v>0</v>
      </c>
      <c r="Q136" t="str">
        <f t="shared" si="16"/>
        <v>Correct</v>
      </c>
    </row>
    <row r="137" spans="1:17" x14ac:dyDescent="0.3">
      <c r="A137" t="s">
        <v>159</v>
      </c>
      <c r="B137" s="2">
        <v>46276</v>
      </c>
      <c r="C137" s="3">
        <v>1.98</v>
      </c>
      <c r="D137" s="3">
        <v>6.42</v>
      </c>
      <c r="E137" s="3">
        <v>1.03</v>
      </c>
      <c r="F137" s="4">
        <v>0</v>
      </c>
      <c r="G137" s="5">
        <v>14239.26</v>
      </c>
      <c r="H137" t="s">
        <v>24</v>
      </c>
      <c r="I137" t="s">
        <v>26</v>
      </c>
      <c r="J137" t="s">
        <v>18</v>
      </c>
      <c r="L137" s="3">
        <f t="shared" si="17"/>
        <v>9.43</v>
      </c>
      <c r="M137" s="3">
        <f t="shared" si="12"/>
        <v>9.43</v>
      </c>
      <c r="N137" t="b">
        <f t="shared" si="13"/>
        <v>0</v>
      </c>
      <c r="O137">
        <f t="shared" si="14"/>
        <v>1</v>
      </c>
      <c r="P137" s="3">
        <f t="shared" si="15"/>
        <v>0</v>
      </c>
      <c r="Q137" t="str">
        <f t="shared" si="16"/>
        <v>Correct</v>
      </c>
    </row>
    <row r="138" spans="1:17" x14ac:dyDescent="0.3">
      <c r="A138" t="s">
        <v>160</v>
      </c>
      <c r="B138" s="2">
        <v>46267</v>
      </c>
      <c r="C138" s="3">
        <v>2.96</v>
      </c>
      <c r="D138" s="3">
        <v>4.18</v>
      </c>
      <c r="E138" s="3">
        <v>2.06</v>
      </c>
      <c r="F138" s="4">
        <v>0</v>
      </c>
      <c r="G138" s="5">
        <v>6954.55</v>
      </c>
      <c r="H138" t="s">
        <v>24</v>
      </c>
      <c r="I138" t="s">
        <v>20</v>
      </c>
      <c r="J138" t="s">
        <v>21</v>
      </c>
      <c r="K138" t="s">
        <v>22</v>
      </c>
      <c r="L138" s="3">
        <f t="shared" si="17"/>
        <v>9.1999999999999993</v>
      </c>
      <c r="M138" s="3">
        <f t="shared" si="12"/>
        <v>9.1999999999999993</v>
      </c>
      <c r="N138" t="b">
        <f t="shared" si="13"/>
        <v>0</v>
      </c>
      <c r="O138">
        <f t="shared" si="14"/>
        <v>0</v>
      </c>
      <c r="P138" s="3">
        <f t="shared" si="15"/>
        <v>0</v>
      </c>
      <c r="Q138" t="str">
        <f t="shared" si="16"/>
        <v>Correct</v>
      </c>
    </row>
    <row r="139" spans="1:17" x14ac:dyDescent="0.3">
      <c r="A139" t="s">
        <v>161</v>
      </c>
      <c r="B139" s="2">
        <v>46236</v>
      </c>
      <c r="C139" s="3">
        <v>2.86</v>
      </c>
      <c r="D139" s="3">
        <v>3.05</v>
      </c>
      <c r="E139" s="3">
        <v>2.79</v>
      </c>
      <c r="F139" s="4">
        <v>1</v>
      </c>
      <c r="G139" s="5">
        <v>49476.35</v>
      </c>
      <c r="H139" t="s">
        <v>13</v>
      </c>
      <c r="I139" t="s">
        <v>17</v>
      </c>
      <c r="J139" t="s">
        <v>18</v>
      </c>
      <c r="L139" s="3">
        <f t="shared" si="17"/>
        <v>8.6999999999999993</v>
      </c>
      <c r="M139" s="3">
        <f t="shared" si="12"/>
        <v>8.6999999999999993</v>
      </c>
      <c r="N139" t="b">
        <f t="shared" si="13"/>
        <v>0</v>
      </c>
      <c r="O139">
        <f t="shared" si="14"/>
        <v>1</v>
      </c>
      <c r="P139" s="3">
        <f t="shared" si="15"/>
        <v>0</v>
      </c>
      <c r="Q139" t="str">
        <f t="shared" si="16"/>
        <v>Correct</v>
      </c>
    </row>
    <row r="140" spans="1:17" x14ac:dyDescent="0.3">
      <c r="A140" t="s">
        <v>162</v>
      </c>
      <c r="B140" s="2">
        <v>46267</v>
      </c>
      <c r="C140" s="3">
        <v>3.51</v>
      </c>
      <c r="D140" s="3">
        <v>4.2699999999999996</v>
      </c>
      <c r="E140" s="3">
        <v>1.1200000000000001</v>
      </c>
      <c r="F140" s="4">
        <v>0</v>
      </c>
      <c r="G140" s="5">
        <v>17844.75</v>
      </c>
      <c r="H140" t="s">
        <v>13</v>
      </c>
      <c r="I140" t="s">
        <v>20</v>
      </c>
      <c r="J140" t="s">
        <v>21</v>
      </c>
      <c r="K140" t="s">
        <v>163</v>
      </c>
      <c r="L140" s="3">
        <f t="shared" si="17"/>
        <v>8.8999999999999986</v>
      </c>
      <c r="M140" s="3">
        <f t="shared" si="12"/>
        <v>8.8999999999999986</v>
      </c>
      <c r="N140" t="b">
        <f t="shared" si="13"/>
        <v>0</v>
      </c>
      <c r="O140">
        <f t="shared" si="14"/>
        <v>0</v>
      </c>
      <c r="P140" s="3">
        <f t="shared" si="15"/>
        <v>0</v>
      </c>
      <c r="Q140" t="str">
        <f t="shared" si="16"/>
        <v>Correct</v>
      </c>
    </row>
    <row r="141" spans="1:17" x14ac:dyDescent="0.3">
      <c r="A141" t="s">
        <v>164</v>
      </c>
      <c r="B141" s="2">
        <v>46259</v>
      </c>
      <c r="C141" s="3">
        <v>1.51</v>
      </c>
      <c r="D141" s="3">
        <v>13.06</v>
      </c>
      <c r="E141" s="3">
        <v>2.57</v>
      </c>
      <c r="F141" s="4">
        <v>1</v>
      </c>
      <c r="G141" s="5">
        <v>44088.09</v>
      </c>
      <c r="H141" t="s">
        <v>13</v>
      </c>
      <c r="I141" t="s">
        <v>26</v>
      </c>
      <c r="J141" t="s">
        <v>21</v>
      </c>
      <c r="K141" t="s">
        <v>131</v>
      </c>
      <c r="L141" s="3">
        <f t="shared" si="17"/>
        <v>17.14</v>
      </c>
      <c r="M141" s="3">
        <f t="shared" si="12"/>
        <v>17.14</v>
      </c>
      <c r="N141" t="b">
        <f t="shared" si="13"/>
        <v>0</v>
      </c>
      <c r="O141">
        <f t="shared" si="14"/>
        <v>0</v>
      </c>
      <c r="P141" s="3">
        <f t="shared" si="15"/>
        <v>0</v>
      </c>
      <c r="Q141" t="str">
        <f t="shared" si="16"/>
        <v>Correct</v>
      </c>
    </row>
    <row r="142" spans="1:17" x14ac:dyDescent="0.3">
      <c r="A142" t="s">
        <v>165</v>
      </c>
      <c r="B142" s="2">
        <v>46277</v>
      </c>
      <c r="C142" s="3">
        <v>1.05</v>
      </c>
      <c r="D142" s="3">
        <v>16.84</v>
      </c>
      <c r="E142" s="3">
        <v>2.84</v>
      </c>
      <c r="F142" s="4">
        <v>1</v>
      </c>
      <c r="G142" s="5">
        <v>103997.81</v>
      </c>
      <c r="H142" t="s">
        <v>13</v>
      </c>
      <c r="I142" t="s">
        <v>17</v>
      </c>
      <c r="J142" t="s">
        <v>15</v>
      </c>
      <c r="L142" s="3">
        <f t="shared" si="17"/>
        <v>20.73</v>
      </c>
      <c r="M142" s="3">
        <f t="shared" si="12"/>
        <v>20.73</v>
      </c>
      <c r="N142" t="b">
        <f t="shared" si="13"/>
        <v>0</v>
      </c>
      <c r="O142">
        <f t="shared" si="14"/>
        <v>1</v>
      </c>
      <c r="P142" s="3">
        <f t="shared" si="15"/>
        <v>0</v>
      </c>
      <c r="Q142" t="str">
        <f t="shared" si="16"/>
        <v>Correct</v>
      </c>
    </row>
    <row r="143" spans="1:17" x14ac:dyDescent="0.3">
      <c r="A143" t="s">
        <v>166</v>
      </c>
      <c r="B143" s="2">
        <v>46287</v>
      </c>
      <c r="C143" s="3">
        <v>2.4900000000000002</v>
      </c>
      <c r="D143" s="3">
        <v>7.33</v>
      </c>
      <c r="E143" s="3">
        <v>1.76</v>
      </c>
      <c r="F143" s="4">
        <v>0</v>
      </c>
      <c r="G143" s="5">
        <v>46929.31</v>
      </c>
      <c r="H143" t="s">
        <v>13</v>
      </c>
      <c r="I143" t="s">
        <v>17</v>
      </c>
      <c r="J143" t="s">
        <v>18</v>
      </c>
      <c r="L143" s="3">
        <f t="shared" si="17"/>
        <v>11.58</v>
      </c>
      <c r="M143" s="3">
        <f t="shared" si="12"/>
        <v>11.58</v>
      </c>
      <c r="N143" t="b">
        <f t="shared" si="13"/>
        <v>0</v>
      </c>
      <c r="O143">
        <f t="shared" si="14"/>
        <v>1</v>
      </c>
      <c r="P143" s="3">
        <f t="shared" si="15"/>
        <v>0</v>
      </c>
      <c r="Q143" t="str">
        <f t="shared" si="16"/>
        <v>Correct</v>
      </c>
    </row>
    <row r="144" spans="1:17" x14ac:dyDescent="0.3">
      <c r="A144" t="s">
        <v>167</v>
      </c>
      <c r="B144" s="2">
        <v>46292</v>
      </c>
      <c r="C144" s="3">
        <v>3.34</v>
      </c>
      <c r="D144" s="3">
        <v>3.26</v>
      </c>
      <c r="E144" s="3">
        <v>7.43</v>
      </c>
      <c r="F144" s="4">
        <v>1</v>
      </c>
      <c r="G144" s="5">
        <v>9020.3799999999992</v>
      </c>
      <c r="H144" t="s">
        <v>24</v>
      </c>
      <c r="I144" t="s">
        <v>20</v>
      </c>
      <c r="J144" t="s">
        <v>18</v>
      </c>
      <c r="L144" s="3">
        <f t="shared" si="17"/>
        <v>14.03</v>
      </c>
      <c r="M144" s="3">
        <f t="shared" si="12"/>
        <v>14.03</v>
      </c>
      <c r="N144" t="b">
        <f t="shared" si="13"/>
        <v>0</v>
      </c>
      <c r="O144">
        <f t="shared" si="14"/>
        <v>1</v>
      </c>
      <c r="P144" s="3">
        <f t="shared" si="15"/>
        <v>0</v>
      </c>
      <c r="Q144" t="str">
        <f t="shared" si="16"/>
        <v>Correct</v>
      </c>
    </row>
    <row r="145" spans="1:17" x14ac:dyDescent="0.3">
      <c r="A145" t="s">
        <v>168</v>
      </c>
      <c r="B145" s="2">
        <v>46271</v>
      </c>
      <c r="C145" s="3">
        <v>3.78</v>
      </c>
      <c r="D145" s="3">
        <v>6.04</v>
      </c>
      <c r="E145" s="3">
        <v>7.19</v>
      </c>
      <c r="F145" s="4">
        <v>1</v>
      </c>
      <c r="G145" s="5">
        <v>17571.939999999999</v>
      </c>
      <c r="H145" t="s">
        <v>24</v>
      </c>
      <c r="I145" t="s">
        <v>14</v>
      </c>
      <c r="J145" t="s">
        <v>21</v>
      </c>
      <c r="K145" t="s">
        <v>22</v>
      </c>
      <c r="L145" s="3">
        <f t="shared" si="17"/>
        <v>17.010000000000002</v>
      </c>
      <c r="M145" s="3">
        <f t="shared" si="12"/>
        <v>17.010000000000002</v>
      </c>
      <c r="N145" t="b">
        <f t="shared" si="13"/>
        <v>0</v>
      </c>
      <c r="O145">
        <f t="shared" si="14"/>
        <v>0</v>
      </c>
      <c r="P145" s="3">
        <f t="shared" si="15"/>
        <v>0</v>
      </c>
      <c r="Q145" t="str">
        <f t="shared" si="16"/>
        <v>Correct</v>
      </c>
    </row>
    <row r="146" spans="1:17" x14ac:dyDescent="0.3">
      <c r="A146" t="s">
        <v>169</v>
      </c>
      <c r="B146" s="2">
        <v>46256</v>
      </c>
      <c r="C146" s="3">
        <v>4.5</v>
      </c>
      <c r="D146" s="3">
        <v>7.26</v>
      </c>
      <c r="E146" s="3">
        <v>7.53</v>
      </c>
      <c r="F146" s="4">
        <v>0</v>
      </c>
      <c r="G146" s="5">
        <v>12287.74</v>
      </c>
      <c r="H146" t="s">
        <v>24</v>
      </c>
      <c r="I146" t="s">
        <v>17</v>
      </c>
      <c r="J146" t="s">
        <v>18</v>
      </c>
      <c r="L146" s="3">
        <f t="shared" si="17"/>
        <v>19.29</v>
      </c>
      <c r="M146" s="3">
        <f t="shared" si="12"/>
        <v>19.29</v>
      </c>
      <c r="N146" t="b">
        <f t="shared" si="13"/>
        <v>0</v>
      </c>
      <c r="O146">
        <f t="shared" si="14"/>
        <v>1</v>
      </c>
      <c r="P146" s="3">
        <f t="shared" si="15"/>
        <v>0</v>
      </c>
      <c r="Q146" t="str">
        <f t="shared" si="16"/>
        <v>Correct</v>
      </c>
    </row>
    <row r="147" spans="1:17" x14ac:dyDescent="0.3">
      <c r="A147" t="s">
        <v>170</v>
      </c>
      <c r="B147" s="2">
        <v>46261</v>
      </c>
      <c r="C147" s="3">
        <v>3.13</v>
      </c>
      <c r="D147" s="3">
        <v>4.62</v>
      </c>
      <c r="E147" s="3">
        <v>1.08</v>
      </c>
      <c r="F147" s="4">
        <v>0</v>
      </c>
      <c r="G147" s="5">
        <v>31581.3</v>
      </c>
      <c r="H147" t="s">
        <v>13</v>
      </c>
      <c r="I147" t="s">
        <v>26</v>
      </c>
      <c r="J147" t="s">
        <v>18</v>
      </c>
      <c r="L147" s="3">
        <f t="shared" si="17"/>
        <v>8.83</v>
      </c>
      <c r="M147" s="3">
        <f t="shared" si="12"/>
        <v>8.83</v>
      </c>
      <c r="N147" t="b">
        <f t="shared" si="13"/>
        <v>0</v>
      </c>
      <c r="O147">
        <f t="shared" si="14"/>
        <v>1</v>
      </c>
      <c r="P147" s="3">
        <f t="shared" si="15"/>
        <v>0</v>
      </c>
      <c r="Q147" t="str">
        <f t="shared" si="16"/>
        <v>Correct</v>
      </c>
    </row>
    <row r="148" spans="1:17" x14ac:dyDescent="0.3">
      <c r="A148" t="s">
        <v>171</v>
      </c>
      <c r="B148" s="2">
        <v>46245</v>
      </c>
      <c r="C148" s="3">
        <v>1</v>
      </c>
      <c r="D148" s="3">
        <v>9.41</v>
      </c>
      <c r="E148" s="3">
        <v>4.12</v>
      </c>
      <c r="F148" s="4">
        <v>0</v>
      </c>
      <c r="G148" s="5">
        <v>14194.22</v>
      </c>
      <c r="H148" t="s">
        <v>24</v>
      </c>
      <c r="I148" t="s">
        <v>17</v>
      </c>
      <c r="J148" t="s">
        <v>18</v>
      </c>
      <c r="L148" s="3">
        <f t="shared" si="17"/>
        <v>14.530000000000001</v>
      </c>
      <c r="M148" s="3">
        <f t="shared" si="12"/>
        <v>14.530000000000001</v>
      </c>
      <c r="N148" t="b">
        <f t="shared" si="13"/>
        <v>0</v>
      </c>
      <c r="O148">
        <f t="shared" si="14"/>
        <v>1</v>
      </c>
      <c r="P148" s="3">
        <f t="shared" si="15"/>
        <v>0</v>
      </c>
      <c r="Q148" t="str">
        <f t="shared" si="16"/>
        <v>Correct</v>
      </c>
    </row>
    <row r="149" spans="1:17" x14ac:dyDescent="0.3">
      <c r="A149" t="s">
        <v>172</v>
      </c>
      <c r="B149" s="2">
        <v>46291</v>
      </c>
      <c r="C149" s="3">
        <v>1.96</v>
      </c>
      <c r="D149" s="3">
        <v>9.1999999999999993</v>
      </c>
      <c r="E149" s="3">
        <v>2.33</v>
      </c>
      <c r="F149" s="4">
        <v>0</v>
      </c>
      <c r="G149" s="5">
        <v>5450.51</v>
      </c>
      <c r="H149" t="s">
        <v>24</v>
      </c>
      <c r="I149" t="s">
        <v>17</v>
      </c>
      <c r="J149" t="s">
        <v>18</v>
      </c>
      <c r="L149" s="3">
        <f t="shared" si="17"/>
        <v>13.49</v>
      </c>
      <c r="M149" s="3">
        <f t="shared" si="12"/>
        <v>13.49</v>
      </c>
      <c r="N149" t="b">
        <f t="shared" si="13"/>
        <v>0</v>
      </c>
      <c r="O149">
        <f t="shared" si="14"/>
        <v>1</v>
      </c>
      <c r="P149" s="3">
        <f t="shared" si="15"/>
        <v>0</v>
      </c>
      <c r="Q149" t="str">
        <f t="shared" si="16"/>
        <v>Correct</v>
      </c>
    </row>
    <row r="150" spans="1:17" x14ac:dyDescent="0.3">
      <c r="A150" t="s">
        <v>173</v>
      </c>
      <c r="B150" s="2">
        <v>46285</v>
      </c>
      <c r="C150" s="3">
        <v>1.83</v>
      </c>
      <c r="D150" s="3">
        <v>3.94</v>
      </c>
      <c r="E150" s="3">
        <v>3.25</v>
      </c>
      <c r="F150" s="4">
        <v>1</v>
      </c>
      <c r="G150" s="5">
        <v>21523.1</v>
      </c>
      <c r="H150" t="s">
        <v>24</v>
      </c>
      <c r="I150" t="s">
        <v>17</v>
      </c>
      <c r="J150" t="s">
        <v>18</v>
      </c>
      <c r="L150" s="3">
        <f t="shared" si="17"/>
        <v>9.02</v>
      </c>
      <c r="M150" s="3">
        <f t="shared" si="12"/>
        <v>9.02</v>
      </c>
      <c r="N150" t="b">
        <f t="shared" si="13"/>
        <v>0</v>
      </c>
      <c r="O150">
        <f t="shared" si="14"/>
        <v>1</v>
      </c>
      <c r="P150" s="3">
        <f t="shared" si="15"/>
        <v>0</v>
      </c>
      <c r="Q150" t="str">
        <f t="shared" si="16"/>
        <v>Correct</v>
      </c>
    </row>
    <row r="151" spans="1:17" x14ac:dyDescent="0.3">
      <c r="A151" t="s">
        <v>174</v>
      </c>
      <c r="B151" s="2">
        <v>46286</v>
      </c>
      <c r="C151" s="3">
        <v>1.68</v>
      </c>
      <c r="D151" s="3">
        <v>5.04</v>
      </c>
      <c r="E151" s="3">
        <v>5.16</v>
      </c>
      <c r="F151" s="4">
        <v>0</v>
      </c>
      <c r="G151" s="5">
        <v>17383.11</v>
      </c>
      <c r="H151" t="s">
        <v>24</v>
      </c>
      <c r="I151" t="s">
        <v>26</v>
      </c>
      <c r="J151" t="s">
        <v>15</v>
      </c>
      <c r="L151" s="3">
        <f t="shared" si="17"/>
        <v>11.879999999999999</v>
      </c>
      <c r="M151" s="3">
        <f t="shared" si="12"/>
        <v>11.879999999999999</v>
      </c>
      <c r="N151" t="b">
        <f t="shared" si="13"/>
        <v>0</v>
      </c>
      <c r="O151">
        <f t="shared" si="14"/>
        <v>1</v>
      </c>
      <c r="P151" s="3">
        <f t="shared" si="15"/>
        <v>0</v>
      </c>
      <c r="Q151" t="str">
        <f t="shared" si="16"/>
        <v>Correct</v>
      </c>
    </row>
    <row r="152" spans="1:17" x14ac:dyDescent="0.3">
      <c r="A152" t="s">
        <v>175</v>
      </c>
      <c r="B152" s="2">
        <v>46254</v>
      </c>
      <c r="C152" s="3">
        <v>2.4900000000000002</v>
      </c>
      <c r="D152" s="3">
        <v>5.35</v>
      </c>
      <c r="E152" s="3">
        <v>2.35</v>
      </c>
      <c r="F152" s="4">
        <v>0</v>
      </c>
      <c r="G152" s="5">
        <v>11607.85</v>
      </c>
      <c r="H152" t="s">
        <v>24</v>
      </c>
      <c r="I152" t="s">
        <v>20</v>
      </c>
      <c r="J152" t="s">
        <v>18</v>
      </c>
      <c r="L152" s="3">
        <f t="shared" si="17"/>
        <v>10.19</v>
      </c>
      <c r="M152" s="3">
        <f t="shared" si="12"/>
        <v>10.19</v>
      </c>
      <c r="N152" t="b">
        <f t="shared" si="13"/>
        <v>0</v>
      </c>
      <c r="O152">
        <f t="shared" si="14"/>
        <v>1</v>
      </c>
      <c r="P152" s="3">
        <f t="shared" si="15"/>
        <v>0</v>
      </c>
      <c r="Q152" t="str">
        <f t="shared" si="16"/>
        <v>Correct</v>
      </c>
    </row>
    <row r="153" spans="1:17" x14ac:dyDescent="0.3">
      <c r="A153" t="s">
        <v>176</v>
      </c>
      <c r="B153" s="2">
        <v>46254</v>
      </c>
      <c r="C153" s="3">
        <v>1.4</v>
      </c>
      <c r="D153" s="3">
        <v>5.34</v>
      </c>
      <c r="E153" s="3">
        <v>1.29</v>
      </c>
      <c r="F153" s="4">
        <v>2</v>
      </c>
      <c r="G153" s="5">
        <v>44681.79</v>
      </c>
      <c r="H153" t="s">
        <v>13</v>
      </c>
      <c r="I153" t="s">
        <v>20</v>
      </c>
      <c r="J153" t="s">
        <v>18</v>
      </c>
      <c r="L153" s="3">
        <f t="shared" si="17"/>
        <v>8.0300000000000011</v>
      </c>
      <c r="M153" s="3">
        <f t="shared" si="12"/>
        <v>8.0300000000000011</v>
      </c>
      <c r="N153" t="b">
        <f t="shared" si="13"/>
        <v>0</v>
      </c>
      <c r="O153">
        <f t="shared" si="14"/>
        <v>1</v>
      </c>
      <c r="P153" s="3">
        <f t="shared" si="15"/>
        <v>0</v>
      </c>
      <c r="Q153" t="str">
        <f t="shared" si="16"/>
        <v>Correct</v>
      </c>
    </row>
    <row r="154" spans="1:17" x14ac:dyDescent="0.3">
      <c r="A154" t="s">
        <v>177</v>
      </c>
      <c r="B154" s="2">
        <v>46286</v>
      </c>
      <c r="C154" s="3">
        <v>1.41</v>
      </c>
      <c r="D154" s="3">
        <v>2.1800000000000002</v>
      </c>
      <c r="E154" s="3">
        <v>5.55</v>
      </c>
      <c r="F154" s="4">
        <v>1</v>
      </c>
      <c r="G154" s="5">
        <v>8822.25</v>
      </c>
      <c r="H154" t="s">
        <v>24</v>
      </c>
      <c r="I154" t="s">
        <v>26</v>
      </c>
      <c r="J154" t="s">
        <v>18</v>
      </c>
      <c r="L154" s="3">
        <f t="shared" si="17"/>
        <v>9.14</v>
      </c>
      <c r="M154" s="3">
        <f t="shared" si="12"/>
        <v>9.14</v>
      </c>
      <c r="N154" t="b">
        <f t="shared" si="13"/>
        <v>0</v>
      </c>
      <c r="O154">
        <f t="shared" si="14"/>
        <v>1</v>
      </c>
      <c r="P154" s="3">
        <f t="shared" si="15"/>
        <v>0</v>
      </c>
      <c r="Q154" t="str">
        <f t="shared" si="16"/>
        <v>Correct</v>
      </c>
    </row>
    <row r="155" spans="1:17" x14ac:dyDescent="0.3">
      <c r="A155" t="s">
        <v>178</v>
      </c>
      <c r="B155" s="2">
        <v>46267</v>
      </c>
      <c r="C155" s="3">
        <v>5.5</v>
      </c>
      <c r="D155" s="3">
        <v>3.09</v>
      </c>
      <c r="E155" s="3">
        <v>3.38</v>
      </c>
      <c r="F155" s="4">
        <v>0</v>
      </c>
      <c r="G155" s="5">
        <v>14374.17</v>
      </c>
      <c r="H155" t="s">
        <v>24</v>
      </c>
      <c r="I155" t="s">
        <v>14</v>
      </c>
      <c r="J155" t="s">
        <v>18</v>
      </c>
      <c r="L155" s="3">
        <f t="shared" si="17"/>
        <v>11.969999999999999</v>
      </c>
      <c r="M155" s="3">
        <f t="shared" si="12"/>
        <v>11.969999999999999</v>
      </c>
      <c r="N155" t="b">
        <f t="shared" si="13"/>
        <v>0</v>
      </c>
      <c r="O155">
        <f t="shared" si="14"/>
        <v>1</v>
      </c>
      <c r="P155" s="3">
        <f t="shared" si="15"/>
        <v>0</v>
      </c>
      <c r="Q155" t="str">
        <f t="shared" si="16"/>
        <v>Correct</v>
      </c>
    </row>
    <row r="156" spans="1:17" x14ac:dyDescent="0.3">
      <c r="A156" t="s">
        <v>179</v>
      </c>
      <c r="B156" s="2">
        <v>46277</v>
      </c>
      <c r="C156" s="3">
        <v>1.58</v>
      </c>
      <c r="D156" s="3">
        <v>2.4700000000000002</v>
      </c>
      <c r="E156" s="3">
        <v>2.82</v>
      </c>
      <c r="F156" s="4">
        <v>0</v>
      </c>
      <c r="G156" s="5">
        <v>72048.820000000007</v>
      </c>
      <c r="H156" t="s">
        <v>13</v>
      </c>
      <c r="I156" t="s">
        <v>26</v>
      </c>
      <c r="J156" t="s">
        <v>18</v>
      </c>
      <c r="L156" s="3">
        <f t="shared" si="17"/>
        <v>6.870000000000001</v>
      </c>
      <c r="M156" s="3">
        <f t="shared" si="12"/>
        <v>6.870000000000001</v>
      </c>
      <c r="N156" t="b">
        <f t="shared" si="13"/>
        <v>0</v>
      </c>
      <c r="O156">
        <f t="shared" si="14"/>
        <v>1</v>
      </c>
      <c r="P156" s="3">
        <f t="shared" si="15"/>
        <v>0</v>
      </c>
      <c r="Q156" t="str">
        <f t="shared" si="16"/>
        <v>Correct</v>
      </c>
    </row>
    <row r="157" spans="1:17" x14ac:dyDescent="0.3">
      <c r="A157" t="s">
        <v>180</v>
      </c>
      <c r="B157" s="2">
        <v>46264</v>
      </c>
      <c r="C157" s="3">
        <v>3.49</v>
      </c>
      <c r="D157" s="3">
        <v>5.13</v>
      </c>
      <c r="E157" s="3">
        <v>2.4700000000000002</v>
      </c>
      <c r="F157" s="4">
        <v>1</v>
      </c>
      <c r="G157" s="5">
        <v>11266.21</v>
      </c>
      <c r="H157" t="s">
        <v>24</v>
      </c>
      <c r="I157" t="s">
        <v>14</v>
      </c>
      <c r="J157" t="s">
        <v>21</v>
      </c>
      <c r="K157" t="s">
        <v>22</v>
      </c>
      <c r="L157" s="3">
        <f t="shared" si="17"/>
        <v>11.090000000000002</v>
      </c>
      <c r="M157" s="3">
        <f t="shared" si="12"/>
        <v>11.090000000000002</v>
      </c>
      <c r="N157" t="b">
        <f t="shared" si="13"/>
        <v>0</v>
      </c>
      <c r="O157">
        <f t="shared" si="14"/>
        <v>0</v>
      </c>
      <c r="P157" s="3">
        <f t="shared" si="15"/>
        <v>0</v>
      </c>
      <c r="Q157" t="str">
        <f t="shared" si="16"/>
        <v>Correct</v>
      </c>
    </row>
    <row r="158" spans="1:17" x14ac:dyDescent="0.3">
      <c r="A158" t="s">
        <v>181</v>
      </c>
      <c r="B158" s="2">
        <v>46261</v>
      </c>
      <c r="C158" s="3">
        <v>3.63</v>
      </c>
      <c r="D158" s="3">
        <v>2.12</v>
      </c>
      <c r="E158" s="3">
        <v>5.26</v>
      </c>
      <c r="F158" s="4">
        <v>1</v>
      </c>
      <c r="G158" s="5">
        <v>15786.1</v>
      </c>
      <c r="H158" t="s">
        <v>13</v>
      </c>
      <c r="I158" t="s">
        <v>17</v>
      </c>
      <c r="J158" t="s">
        <v>15</v>
      </c>
      <c r="L158" s="3">
        <f t="shared" si="17"/>
        <v>11.01</v>
      </c>
      <c r="M158" s="3">
        <f t="shared" si="12"/>
        <v>11.01</v>
      </c>
      <c r="N158" t="b">
        <f t="shared" si="13"/>
        <v>0</v>
      </c>
      <c r="O158">
        <f t="shared" si="14"/>
        <v>1</v>
      </c>
      <c r="P158" s="3">
        <f t="shared" si="15"/>
        <v>0</v>
      </c>
      <c r="Q158" t="str">
        <f t="shared" si="16"/>
        <v>Correct</v>
      </c>
    </row>
    <row r="159" spans="1:17" x14ac:dyDescent="0.3">
      <c r="A159" t="s">
        <v>182</v>
      </c>
      <c r="B159" s="2">
        <v>46272</v>
      </c>
      <c r="C159" s="3">
        <v>2</v>
      </c>
      <c r="D159" s="3">
        <v>10.32</v>
      </c>
      <c r="E159" s="3">
        <v>6.85</v>
      </c>
      <c r="F159" s="4">
        <v>0</v>
      </c>
      <c r="G159" s="5">
        <v>7266.33</v>
      </c>
      <c r="H159" t="s">
        <v>24</v>
      </c>
      <c r="I159" t="s">
        <v>14</v>
      </c>
      <c r="J159" t="s">
        <v>21</v>
      </c>
      <c r="K159" t="s">
        <v>22</v>
      </c>
      <c r="L159" s="3">
        <f t="shared" si="17"/>
        <v>19.170000000000002</v>
      </c>
      <c r="M159" s="3">
        <f t="shared" si="12"/>
        <v>19.170000000000002</v>
      </c>
      <c r="N159" t="b">
        <f t="shared" si="13"/>
        <v>0</v>
      </c>
      <c r="O159">
        <f t="shared" si="14"/>
        <v>0</v>
      </c>
      <c r="P159" s="3">
        <f t="shared" si="15"/>
        <v>0</v>
      </c>
      <c r="Q159" t="str">
        <f t="shared" si="16"/>
        <v>Correct</v>
      </c>
    </row>
    <row r="160" spans="1:17" x14ac:dyDescent="0.3">
      <c r="A160" t="s">
        <v>183</v>
      </c>
      <c r="B160" s="2">
        <v>46283</v>
      </c>
      <c r="C160" s="3">
        <v>1.45</v>
      </c>
      <c r="D160" s="3">
        <v>8.99</v>
      </c>
      <c r="E160" s="3">
        <v>4.3</v>
      </c>
      <c r="F160" s="4">
        <v>2</v>
      </c>
      <c r="G160" s="5">
        <v>7052.19</v>
      </c>
      <c r="H160" t="s">
        <v>24</v>
      </c>
      <c r="I160" t="s">
        <v>14</v>
      </c>
      <c r="J160" t="s">
        <v>18</v>
      </c>
      <c r="L160" s="3">
        <f t="shared" si="17"/>
        <v>14.739999999999998</v>
      </c>
      <c r="M160" s="3">
        <f t="shared" si="12"/>
        <v>14.739999999999998</v>
      </c>
      <c r="N160" t="b">
        <f t="shared" si="13"/>
        <v>0</v>
      </c>
      <c r="O160">
        <f t="shared" si="14"/>
        <v>1</v>
      </c>
      <c r="P160" s="3">
        <f t="shared" si="15"/>
        <v>0</v>
      </c>
      <c r="Q160" t="str">
        <f t="shared" si="16"/>
        <v>Correct</v>
      </c>
    </row>
    <row r="161" spans="1:17" x14ac:dyDescent="0.3">
      <c r="A161" t="s">
        <v>184</v>
      </c>
      <c r="B161" s="2">
        <v>46255</v>
      </c>
      <c r="C161" s="3">
        <v>0.78</v>
      </c>
      <c r="D161" s="3">
        <v>5.43</v>
      </c>
      <c r="E161" s="3">
        <v>0.61</v>
      </c>
      <c r="F161" s="4">
        <v>0</v>
      </c>
      <c r="G161" s="5">
        <v>5131.22</v>
      </c>
      <c r="H161" t="s">
        <v>24</v>
      </c>
      <c r="I161" t="s">
        <v>14</v>
      </c>
      <c r="J161" t="s">
        <v>15</v>
      </c>
      <c r="L161" s="3">
        <f t="shared" si="17"/>
        <v>6.82</v>
      </c>
      <c r="M161" s="3">
        <f t="shared" si="12"/>
        <v>6.82</v>
      </c>
      <c r="N161" t="b">
        <f t="shared" si="13"/>
        <v>0</v>
      </c>
      <c r="O161">
        <f t="shared" si="14"/>
        <v>1</v>
      </c>
      <c r="P161" s="3">
        <f t="shared" si="15"/>
        <v>0</v>
      </c>
      <c r="Q161" t="str">
        <f t="shared" si="16"/>
        <v>Correct</v>
      </c>
    </row>
    <row r="162" spans="1:17" x14ac:dyDescent="0.3">
      <c r="A162" t="s">
        <v>185</v>
      </c>
      <c r="B162" s="2">
        <v>46283</v>
      </c>
      <c r="C162" s="3">
        <v>0.33</v>
      </c>
      <c r="D162" s="3">
        <v>7.27</v>
      </c>
      <c r="E162" s="3">
        <v>3.5</v>
      </c>
      <c r="F162" s="4">
        <v>0</v>
      </c>
      <c r="G162" s="5">
        <v>5511.21</v>
      </c>
      <c r="H162" t="s">
        <v>24</v>
      </c>
      <c r="I162" t="s">
        <v>26</v>
      </c>
      <c r="J162" t="s">
        <v>18</v>
      </c>
      <c r="L162" s="3">
        <f t="shared" si="17"/>
        <v>11.1</v>
      </c>
      <c r="M162" s="3">
        <f t="shared" si="12"/>
        <v>11.1</v>
      </c>
      <c r="N162" t="b">
        <f t="shared" si="13"/>
        <v>0</v>
      </c>
      <c r="O162">
        <f t="shared" si="14"/>
        <v>1</v>
      </c>
      <c r="P162" s="3">
        <f t="shared" si="15"/>
        <v>0</v>
      </c>
      <c r="Q162" t="str">
        <f t="shared" si="16"/>
        <v>Correct</v>
      </c>
    </row>
    <row r="163" spans="1:17" x14ac:dyDescent="0.3">
      <c r="A163" t="s">
        <v>186</v>
      </c>
      <c r="B163" s="2">
        <v>46249</v>
      </c>
      <c r="C163" s="3">
        <v>2.62</v>
      </c>
      <c r="D163" s="3">
        <v>9.39</v>
      </c>
      <c r="E163" s="3">
        <v>4.87</v>
      </c>
      <c r="F163" s="4">
        <v>1</v>
      </c>
      <c r="G163" s="5">
        <v>44377.77</v>
      </c>
      <c r="H163" t="s">
        <v>13</v>
      </c>
      <c r="I163" t="s">
        <v>20</v>
      </c>
      <c r="J163" t="s">
        <v>18</v>
      </c>
      <c r="L163" s="3">
        <f t="shared" si="17"/>
        <v>16.880000000000003</v>
      </c>
      <c r="M163" s="3">
        <f t="shared" si="12"/>
        <v>16.880000000000003</v>
      </c>
      <c r="N163" t="b">
        <f t="shared" si="13"/>
        <v>0</v>
      </c>
      <c r="O163">
        <f t="shared" si="14"/>
        <v>1</v>
      </c>
      <c r="P163" s="3">
        <f t="shared" si="15"/>
        <v>0</v>
      </c>
      <c r="Q163" t="str">
        <f t="shared" si="16"/>
        <v>Correct</v>
      </c>
    </row>
    <row r="164" spans="1:17" x14ac:dyDescent="0.3">
      <c r="A164" t="s">
        <v>187</v>
      </c>
      <c r="B164" s="2">
        <v>46259</v>
      </c>
      <c r="C164" s="3">
        <v>2.25</v>
      </c>
      <c r="D164" s="3">
        <v>4.45</v>
      </c>
      <c r="E164" s="3">
        <v>4.3600000000000003</v>
      </c>
      <c r="F164" s="4">
        <v>0</v>
      </c>
      <c r="G164" s="5">
        <v>14785.55</v>
      </c>
      <c r="H164" t="s">
        <v>24</v>
      </c>
      <c r="I164" t="s">
        <v>26</v>
      </c>
      <c r="J164" t="s">
        <v>18</v>
      </c>
      <c r="L164" s="3">
        <f t="shared" si="17"/>
        <v>11.06</v>
      </c>
      <c r="M164" s="3">
        <f t="shared" si="12"/>
        <v>11.06</v>
      </c>
      <c r="N164" t="b">
        <f t="shared" si="13"/>
        <v>0</v>
      </c>
      <c r="O164">
        <f t="shared" si="14"/>
        <v>1</v>
      </c>
      <c r="P164" s="3">
        <f t="shared" si="15"/>
        <v>0</v>
      </c>
      <c r="Q164" t="str">
        <f t="shared" si="16"/>
        <v>Correct</v>
      </c>
    </row>
    <row r="165" spans="1:17" x14ac:dyDescent="0.3">
      <c r="A165" t="s">
        <v>188</v>
      </c>
      <c r="B165" s="2">
        <v>46289</v>
      </c>
      <c r="C165" s="3">
        <v>2.9</v>
      </c>
      <c r="D165" s="3">
        <v>3.49</v>
      </c>
      <c r="E165" s="3">
        <v>4.2699999999999996</v>
      </c>
      <c r="F165" s="4">
        <v>2</v>
      </c>
      <c r="G165" s="5">
        <v>26766.41</v>
      </c>
      <c r="H165" t="s">
        <v>24</v>
      </c>
      <c r="I165" t="s">
        <v>26</v>
      </c>
      <c r="J165" t="s">
        <v>18</v>
      </c>
      <c r="L165" s="3">
        <f t="shared" si="17"/>
        <v>10.66</v>
      </c>
      <c r="M165" s="3">
        <f t="shared" si="12"/>
        <v>10.66</v>
      </c>
      <c r="N165" t="b">
        <f t="shared" si="13"/>
        <v>0</v>
      </c>
      <c r="O165">
        <f t="shared" si="14"/>
        <v>1</v>
      </c>
      <c r="P165" s="3">
        <f t="shared" si="15"/>
        <v>0</v>
      </c>
      <c r="Q165" t="str">
        <f t="shared" si="16"/>
        <v>Correct</v>
      </c>
    </row>
    <row r="166" spans="1:17" x14ac:dyDescent="0.3">
      <c r="A166" t="s">
        <v>189</v>
      </c>
      <c r="B166" s="2">
        <v>46292</v>
      </c>
      <c r="C166" s="3">
        <v>1.1100000000000001</v>
      </c>
      <c r="D166" s="3">
        <v>3.2</v>
      </c>
      <c r="E166" s="3">
        <v>2.41</v>
      </c>
      <c r="F166" s="4">
        <v>2</v>
      </c>
      <c r="G166" s="5">
        <v>21675.35</v>
      </c>
      <c r="H166" t="s">
        <v>24</v>
      </c>
      <c r="I166" t="s">
        <v>14</v>
      </c>
      <c r="J166" t="s">
        <v>15</v>
      </c>
      <c r="L166" s="3">
        <f t="shared" si="17"/>
        <v>6.7200000000000006</v>
      </c>
      <c r="M166" s="3">
        <f t="shared" si="12"/>
        <v>6.7200000000000006</v>
      </c>
      <c r="N166" t="b">
        <f t="shared" si="13"/>
        <v>0</v>
      </c>
      <c r="O166">
        <f t="shared" si="14"/>
        <v>1</v>
      </c>
      <c r="P166" s="3">
        <f t="shared" si="15"/>
        <v>0</v>
      </c>
      <c r="Q166" t="str">
        <f t="shared" si="16"/>
        <v>Correct</v>
      </c>
    </row>
    <row r="167" spans="1:17" x14ac:dyDescent="0.3">
      <c r="A167" t="s">
        <v>190</v>
      </c>
      <c r="B167" s="2">
        <v>46290</v>
      </c>
      <c r="C167" s="3">
        <v>5.87</v>
      </c>
      <c r="D167" s="3">
        <v>23.54</v>
      </c>
      <c r="E167" s="3">
        <v>5.51</v>
      </c>
      <c r="F167" s="4">
        <v>1</v>
      </c>
      <c r="G167" s="5">
        <v>81673.61</v>
      </c>
      <c r="H167" t="s">
        <v>13</v>
      </c>
      <c r="I167" t="s">
        <v>17</v>
      </c>
      <c r="J167" t="s">
        <v>21</v>
      </c>
      <c r="K167" t="s">
        <v>22</v>
      </c>
      <c r="L167" s="3">
        <f t="shared" si="17"/>
        <v>34.92</v>
      </c>
      <c r="M167" s="3">
        <f t="shared" si="12"/>
        <v>34.92</v>
      </c>
      <c r="N167" t="b">
        <f t="shared" si="13"/>
        <v>0</v>
      </c>
      <c r="O167">
        <f t="shared" si="14"/>
        <v>0</v>
      </c>
      <c r="P167" s="3">
        <f t="shared" si="15"/>
        <v>0</v>
      </c>
      <c r="Q167" t="str">
        <f t="shared" si="16"/>
        <v>Correct</v>
      </c>
    </row>
    <row r="168" spans="1:17" x14ac:dyDescent="0.3">
      <c r="A168" t="s">
        <v>191</v>
      </c>
      <c r="B168" s="2">
        <v>46253</v>
      </c>
      <c r="C168" s="3">
        <v>2.4</v>
      </c>
      <c r="D168" s="3">
        <v>2.86</v>
      </c>
      <c r="E168" s="3">
        <v>3.28</v>
      </c>
      <c r="F168" s="4">
        <v>1</v>
      </c>
      <c r="G168" s="5">
        <v>71276.259999999995</v>
      </c>
      <c r="H168" t="s">
        <v>13</v>
      </c>
      <c r="I168" t="s">
        <v>20</v>
      </c>
      <c r="J168" t="s">
        <v>18</v>
      </c>
      <c r="L168" s="3">
        <f t="shared" si="17"/>
        <v>8.5399999999999991</v>
      </c>
      <c r="M168" s="3">
        <f t="shared" si="12"/>
        <v>8.5399999999999991</v>
      </c>
      <c r="N168" t="b">
        <f t="shared" si="13"/>
        <v>0</v>
      </c>
      <c r="O168">
        <f t="shared" si="14"/>
        <v>1</v>
      </c>
      <c r="P168" s="3">
        <f t="shared" si="15"/>
        <v>0</v>
      </c>
      <c r="Q168" t="str">
        <f t="shared" si="16"/>
        <v>Correct</v>
      </c>
    </row>
    <row r="169" spans="1:17" x14ac:dyDescent="0.3">
      <c r="A169" t="s">
        <v>192</v>
      </c>
      <c r="B169" s="2">
        <v>46285</v>
      </c>
      <c r="C169" s="3">
        <v>1.53</v>
      </c>
      <c r="D169" s="3">
        <v>2.91</v>
      </c>
      <c r="E169" s="3">
        <v>3.52</v>
      </c>
      <c r="F169" s="4">
        <v>1</v>
      </c>
      <c r="G169" s="5">
        <v>7503.46</v>
      </c>
      <c r="H169" t="s">
        <v>13</v>
      </c>
      <c r="I169" t="s">
        <v>20</v>
      </c>
      <c r="J169" t="s">
        <v>18</v>
      </c>
      <c r="L169" s="3">
        <f t="shared" si="17"/>
        <v>7.9600000000000009</v>
      </c>
      <c r="M169" s="3">
        <f t="shared" si="12"/>
        <v>7.9600000000000009</v>
      </c>
      <c r="N169" t="b">
        <f t="shared" si="13"/>
        <v>0</v>
      </c>
      <c r="O169">
        <f t="shared" si="14"/>
        <v>1</v>
      </c>
      <c r="P169" s="3">
        <f t="shared" si="15"/>
        <v>0</v>
      </c>
      <c r="Q169" t="str">
        <f t="shared" si="16"/>
        <v>Correct</v>
      </c>
    </row>
    <row r="170" spans="1:17" x14ac:dyDescent="0.3">
      <c r="A170" t="s">
        <v>193</v>
      </c>
      <c r="B170" s="2">
        <v>46291</v>
      </c>
      <c r="C170" s="3">
        <v>0.25</v>
      </c>
      <c r="D170" s="3">
        <v>12.7</v>
      </c>
      <c r="E170" s="3">
        <v>6.97</v>
      </c>
      <c r="F170" s="4">
        <v>1</v>
      </c>
      <c r="G170" s="5">
        <v>7698.3</v>
      </c>
      <c r="H170" t="s">
        <v>24</v>
      </c>
      <c r="I170" t="s">
        <v>17</v>
      </c>
      <c r="J170" t="s">
        <v>18</v>
      </c>
      <c r="L170" s="3">
        <f t="shared" si="17"/>
        <v>19.919999999999998</v>
      </c>
      <c r="M170" s="3">
        <f t="shared" si="12"/>
        <v>19.919999999999998</v>
      </c>
      <c r="N170" t="b">
        <f t="shared" si="13"/>
        <v>0</v>
      </c>
      <c r="O170">
        <f t="shared" si="14"/>
        <v>1</v>
      </c>
      <c r="P170" s="3">
        <f t="shared" si="15"/>
        <v>0</v>
      </c>
      <c r="Q170" t="str">
        <f t="shared" si="16"/>
        <v>Correct</v>
      </c>
    </row>
    <row r="171" spans="1:17" x14ac:dyDescent="0.3">
      <c r="A171" t="s">
        <v>194</v>
      </c>
      <c r="B171" s="2">
        <v>46293</v>
      </c>
      <c r="C171" s="3">
        <v>1.22</v>
      </c>
      <c r="D171" s="3">
        <v>7.23</v>
      </c>
      <c r="E171" s="3">
        <v>1.48</v>
      </c>
      <c r="F171" s="4">
        <v>0</v>
      </c>
      <c r="G171" s="5">
        <v>10465.049999999999</v>
      </c>
      <c r="H171" t="s">
        <v>24</v>
      </c>
      <c r="I171" t="s">
        <v>20</v>
      </c>
      <c r="J171" t="s">
        <v>18</v>
      </c>
      <c r="L171" s="3">
        <f t="shared" si="17"/>
        <v>9.9300000000000015</v>
      </c>
      <c r="M171" s="3">
        <f t="shared" si="12"/>
        <v>9.9300000000000015</v>
      </c>
      <c r="N171" t="b">
        <f t="shared" si="13"/>
        <v>0</v>
      </c>
      <c r="O171">
        <f t="shared" si="14"/>
        <v>1</v>
      </c>
      <c r="P171" s="3">
        <f t="shared" si="15"/>
        <v>0</v>
      </c>
      <c r="Q171" t="str">
        <f t="shared" si="16"/>
        <v>Correct</v>
      </c>
    </row>
    <row r="172" spans="1:17" x14ac:dyDescent="0.3">
      <c r="A172" t="s">
        <v>195</v>
      </c>
      <c r="B172" s="2">
        <v>46236</v>
      </c>
      <c r="C172" s="3">
        <v>3</v>
      </c>
      <c r="D172" s="3">
        <v>5.52</v>
      </c>
      <c r="E172" s="3">
        <v>8.3000000000000007</v>
      </c>
      <c r="F172" s="4">
        <v>0</v>
      </c>
      <c r="G172" s="5">
        <v>3280.2</v>
      </c>
      <c r="H172" t="s">
        <v>24</v>
      </c>
      <c r="I172" t="s">
        <v>17</v>
      </c>
      <c r="J172" t="s">
        <v>18</v>
      </c>
      <c r="L172" s="3">
        <f t="shared" si="17"/>
        <v>16.82</v>
      </c>
      <c r="M172" s="3">
        <f t="shared" si="12"/>
        <v>16.82</v>
      </c>
      <c r="N172" t="b">
        <f t="shared" si="13"/>
        <v>0</v>
      </c>
      <c r="O172">
        <f t="shared" si="14"/>
        <v>1</v>
      </c>
      <c r="P172" s="3">
        <f t="shared" si="15"/>
        <v>0</v>
      </c>
      <c r="Q172" t="str">
        <f t="shared" si="16"/>
        <v>Correct</v>
      </c>
    </row>
    <row r="173" spans="1:17" x14ac:dyDescent="0.3">
      <c r="A173" t="s">
        <v>196</v>
      </c>
      <c r="B173" s="2">
        <v>46279</v>
      </c>
      <c r="C173" s="3">
        <v>4.43</v>
      </c>
      <c r="D173" s="3">
        <v>9.6300000000000008</v>
      </c>
      <c r="E173" s="3">
        <v>3.48</v>
      </c>
      <c r="F173" s="4">
        <v>0</v>
      </c>
      <c r="G173" s="5">
        <v>11461</v>
      </c>
      <c r="H173" t="s">
        <v>24</v>
      </c>
      <c r="I173" t="s">
        <v>17</v>
      </c>
      <c r="J173" t="s">
        <v>18</v>
      </c>
      <c r="L173" s="3">
        <f t="shared" si="17"/>
        <v>17.54</v>
      </c>
      <c r="M173" s="3">
        <f t="shared" si="12"/>
        <v>17.54</v>
      </c>
      <c r="N173" t="b">
        <f t="shared" si="13"/>
        <v>0</v>
      </c>
      <c r="O173">
        <f t="shared" si="14"/>
        <v>1</v>
      </c>
      <c r="P173" s="3">
        <f t="shared" si="15"/>
        <v>0</v>
      </c>
      <c r="Q173" t="str">
        <f t="shared" si="16"/>
        <v>Correct</v>
      </c>
    </row>
    <row r="174" spans="1:17" x14ac:dyDescent="0.3">
      <c r="A174" t="s">
        <v>197</v>
      </c>
      <c r="B174" s="2">
        <v>46294</v>
      </c>
      <c r="C174" s="3">
        <v>1.73</v>
      </c>
      <c r="D174" s="3">
        <v>8.59</v>
      </c>
      <c r="E174" s="3">
        <v>4.66</v>
      </c>
      <c r="F174" s="4">
        <v>0</v>
      </c>
      <c r="G174" s="5">
        <v>72172.67</v>
      </c>
      <c r="H174" t="s">
        <v>13</v>
      </c>
      <c r="I174" t="s">
        <v>26</v>
      </c>
      <c r="J174" t="s">
        <v>18</v>
      </c>
      <c r="L174" s="3">
        <f t="shared" si="17"/>
        <v>14.98</v>
      </c>
      <c r="M174" s="3">
        <f t="shared" si="12"/>
        <v>14.98</v>
      </c>
      <c r="N174" t="b">
        <f t="shared" si="13"/>
        <v>0</v>
      </c>
      <c r="O174">
        <f t="shared" si="14"/>
        <v>1</v>
      </c>
      <c r="P174" s="3">
        <f t="shared" si="15"/>
        <v>0</v>
      </c>
      <c r="Q174" t="str">
        <f t="shared" si="16"/>
        <v>Correct</v>
      </c>
    </row>
    <row r="175" spans="1:17" x14ac:dyDescent="0.3">
      <c r="A175" t="s">
        <v>198</v>
      </c>
      <c r="B175" s="2">
        <v>46280</v>
      </c>
      <c r="C175" s="3">
        <v>4.92</v>
      </c>
      <c r="D175" s="3">
        <v>1.77</v>
      </c>
      <c r="E175" s="3">
        <v>4.8499999999999996</v>
      </c>
      <c r="F175" s="4">
        <v>1</v>
      </c>
      <c r="G175" s="5">
        <v>19978.009999999998</v>
      </c>
      <c r="H175" t="s">
        <v>13</v>
      </c>
      <c r="I175" t="s">
        <v>20</v>
      </c>
      <c r="J175" t="s">
        <v>18</v>
      </c>
      <c r="L175" s="3">
        <f t="shared" si="17"/>
        <v>11.54</v>
      </c>
      <c r="M175" s="3">
        <f t="shared" si="12"/>
        <v>11.54</v>
      </c>
      <c r="N175" t="b">
        <f t="shared" si="13"/>
        <v>0</v>
      </c>
      <c r="O175">
        <f t="shared" si="14"/>
        <v>1</v>
      </c>
      <c r="P175" s="3">
        <f t="shared" si="15"/>
        <v>0</v>
      </c>
      <c r="Q175" t="str">
        <f t="shared" si="16"/>
        <v>Correct</v>
      </c>
    </row>
    <row r="176" spans="1:17" x14ac:dyDescent="0.3">
      <c r="A176" t="s">
        <v>199</v>
      </c>
      <c r="B176" s="2">
        <v>46248</v>
      </c>
      <c r="C176" s="3">
        <v>0.72</v>
      </c>
      <c r="D176" s="3">
        <v>9.3699999999999992</v>
      </c>
      <c r="E176" s="3">
        <v>3.38</v>
      </c>
      <c r="F176" s="4">
        <v>0</v>
      </c>
      <c r="G176" s="5">
        <v>4193.7</v>
      </c>
      <c r="H176" t="s">
        <v>24</v>
      </c>
      <c r="I176" t="s">
        <v>26</v>
      </c>
      <c r="J176" t="s">
        <v>18</v>
      </c>
      <c r="L176" s="3">
        <f t="shared" si="17"/>
        <v>13.469999999999999</v>
      </c>
      <c r="M176" s="3">
        <f t="shared" si="12"/>
        <v>13.469999999999999</v>
      </c>
      <c r="N176" t="b">
        <f t="shared" si="13"/>
        <v>0</v>
      </c>
      <c r="O176">
        <f t="shared" si="14"/>
        <v>1</v>
      </c>
      <c r="P176" s="3">
        <f t="shared" si="15"/>
        <v>0</v>
      </c>
      <c r="Q176" t="str">
        <f t="shared" si="16"/>
        <v>Correct</v>
      </c>
    </row>
    <row r="177" spans="1:17" x14ac:dyDescent="0.3">
      <c r="A177" t="s">
        <v>200</v>
      </c>
      <c r="B177" s="2">
        <v>46280</v>
      </c>
      <c r="C177" s="3">
        <v>2.2999999999999998</v>
      </c>
      <c r="D177" s="3">
        <v>6.36</v>
      </c>
      <c r="E177" s="3">
        <v>3.84</v>
      </c>
      <c r="F177" s="4">
        <v>0</v>
      </c>
      <c r="G177" s="5">
        <v>13340.66</v>
      </c>
      <c r="H177" t="s">
        <v>24</v>
      </c>
      <c r="I177" t="s">
        <v>26</v>
      </c>
      <c r="J177" t="s">
        <v>18</v>
      </c>
      <c r="L177" s="3">
        <f t="shared" si="17"/>
        <v>12.5</v>
      </c>
      <c r="M177" s="3">
        <f t="shared" si="12"/>
        <v>12.5</v>
      </c>
      <c r="N177" t="b">
        <f t="shared" si="13"/>
        <v>0</v>
      </c>
      <c r="O177">
        <f t="shared" si="14"/>
        <v>1</v>
      </c>
      <c r="P177" s="3">
        <f t="shared" si="15"/>
        <v>0</v>
      </c>
      <c r="Q177" t="str">
        <f t="shared" si="16"/>
        <v>Correct</v>
      </c>
    </row>
    <row r="178" spans="1:17" x14ac:dyDescent="0.3">
      <c r="A178" t="s">
        <v>201</v>
      </c>
      <c r="B178" s="2">
        <v>46241</v>
      </c>
      <c r="C178" s="3">
        <v>2.35</v>
      </c>
      <c r="D178" s="3">
        <v>12.26</v>
      </c>
      <c r="E178" s="3">
        <v>0.25</v>
      </c>
      <c r="F178" s="4">
        <v>0</v>
      </c>
      <c r="G178" s="5">
        <v>25095.61</v>
      </c>
      <c r="H178" t="s">
        <v>13</v>
      </c>
      <c r="I178" t="s">
        <v>17</v>
      </c>
      <c r="J178" t="s">
        <v>21</v>
      </c>
      <c r="K178" t="s">
        <v>22</v>
      </c>
      <c r="L178" s="3">
        <f t="shared" si="17"/>
        <v>14.86</v>
      </c>
      <c r="M178" s="3">
        <f t="shared" si="12"/>
        <v>14.86</v>
      </c>
      <c r="N178" t="b">
        <f t="shared" si="13"/>
        <v>0</v>
      </c>
      <c r="O178">
        <f t="shared" si="14"/>
        <v>0</v>
      </c>
      <c r="P178" s="3">
        <f t="shared" si="15"/>
        <v>0</v>
      </c>
      <c r="Q178" t="str">
        <f t="shared" si="16"/>
        <v>Correct</v>
      </c>
    </row>
    <row r="179" spans="1:17" x14ac:dyDescent="0.3">
      <c r="A179" t="s">
        <v>202</v>
      </c>
      <c r="B179" s="2">
        <v>46263</v>
      </c>
      <c r="C179" s="3">
        <v>2.64</v>
      </c>
      <c r="D179" s="3">
        <v>6.39</v>
      </c>
      <c r="E179" s="3">
        <v>6.08</v>
      </c>
      <c r="F179" s="4">
        <v>1</v>
      </c>
      <c r="G179" s="5">
        <v>6433.35</v>
      </c>
      <c r="H179" t="s">
        <v>24</v>
      </c>
      <c r="I179" t="s">
        <v>20</v>
      </c>
      <c r="J179" t="s">
        <v>18</v>
      </c>
      <c r="L179" s="3">
        <f t="shared" si="17"/>
        <v>15.11</v>
      </c>
      <c r="M179" s="3">
        <f t="shared" si="12"/>
        <v>15.11</v>
      </c>
      <c r="N179" t="b">
        <f t="shared" si="13"/>
        <v>0</v>
      </c>
      <c r="O179">
        <f t="shared" si="14"/>
        <v>1</v>
      </c>
      <c r="P179" s="3">
        <f t="shared" si="15"/>
        <v>0</v>
      </c>
      <c r="Q179" t="str">
        <f t="shared" si="16"/>
        <v>Correct</v>
      </c>
    </row>
    <row r="180" spans="1:17" x14ac:dyDescent="0.3">
      <c r="A180" t="s">
        <v>203</v>
      </c>
      <c r="B180" s="2">
        <v>46272</v>
      </c>
      <c r="C180" s="3">
        <v>1.91</v>
      </c>
      <c r="D180" s="3">
        <v>5.0599999999999996</v>
      </c>
      <c r="E180" s="3">
        <v>1.21</v>
      </c>
      <c r="F180" s="4">
        <v>0</v>
      </c>
      <c r="G180" s="5">
        <v>5295.92</v>
      </c>
      <c r="H180" t="s">
        <v>24</v>
      </c>
      <c r="I180" t="s">
        <v>20</v>
      </c>
      <c r="J180" t="s">
        <v>15</v>
      </c>
      <c r="L180" s="3">
        <f t="shared" si="17"/>
        <v>8.18</v>
      </c>
      <c r="M180" s="3">
        <f t="shared" si="12"/>
        <v>8.18</v>
      </c>
      <c r="N180" t="b">
        <f t="shared" si="13"/>
        <v>0</v>
      </c>
      <c r="O180">
        <f t="shared" si="14"/>
        <v>1</v>
      </c>
      <c r="P180" s="3">
        <f t="shared" si="15"/>
        <v>0</v>
      </c>
      <c r="Q180" t="str">
        <f t="shared" si="16"/>
        <v>Correct</v>
      </c>
    </row>
    <row r="181" spans="1:17" x14ac:dyDescent="0.3">
      <c r="A181" t="s">
        <v>204</v>
      </c>
      <c r="B181" s="2">
        <v>46262</v>
      </c>
      <c r="C181" s="3">
        <v>2.21</v>
      </c>
      <c r="D181" s="3">
        <v>3.79</v>
      </c>
      <c r="E181" s="3">
        <v>2.46</v>
      </c>
      <c r="F181" s="4">
        <v>0</v>
      </c>
      <c r="G181" s="5">
        <v>3023.55</v>
      </c>
      <c r="H181" t="s">
        <v>24</v>
      </c>
      <c r="I181" t="s">
        <v>14</v>
      </c>
      <c r="J181" t="s">
        <v>18</v>
      </c>
      <c r="L181" s="3">
        <f t="shared" si="17"/>
        <v>8.4600000000000009</v>
      </c>
      <c r="M181" s="3">
        <f t="shared" si="12"/>
        <v>8.4600000000000009</v>
      </c>
      <c r="N181" t="b">
        <f t="shared" si="13"/>
        <v>0</v>
      </c>
      <c r="O181">
        <f t="shared" si="14"/>
        <v>1</v>
      </c>
      <c r="P181" s="3">
        <f t="shared" si="15"/>
        <v>0</v>
      </c>
      <c r="Q181" t="str">
        <f t="shared" si="16"/>
        <v>Correct</v>
      </c>
    </row>
    <row r="182" spans="1:17" x14ac:dyDescent="0.3">
      <c r="A182" t="s">
        <v>205</v>
      </c>
      <c r="B182" s="2">
        <v>46276</v>
      </c>
      <c r="C182" s="3">
        <v>0.71</v>
      </c>
      <c r="D182" s="3">
        <v>4.4800000000000004</v>
      </c>
      <c r="E182" s="3">
        <v>3.36</v>
      </c>
      <c r="F182" s="4">
        <v>0</v>
      </c>
      <c r="G182" s="5">
        <v>8548.17</v>
      </c>
      <c r="H182" t="s">
        <v>24</v>
      </c>
      <c r="I182" t="s">
        <v>20</v>
      </c>
      <c r="J182" t="s">
        <v>18</v>
      </c>
      <c r="L182" s="3">
        <f t="shared" si="17"/>
        <v>8.5500000000000007</v>
      </c>
      <c r="M182" s="3">
        <f t="shared" si="12"/>
        <v>8.5500000000000007</v>
      </c>
      <c r="N182" t="b">
        <f t="shared" si="13"/>
        <v>0</v>
      </c>
      <c r="O182">
        <f t="shared" si="14"/>
        <v>1</v>
      </c>
      <c r="P182" s="3">
        <f t="shared" si="15"/>
        <v>0</v>
      </c>
      <c r="Q182" t="str">
        <f t="shared" si="16"/>
        <v>Correct</v>
      </c>
    </row>
    <row r="183" spans="1:17" x14ac:dyDescent="0.3">
      <c r="A183" t="s">
        <v>206</v>
      </c>
      <c r="B183" s="2">
        <v>46249</v>
      </c>
      <c r="C183" s="3">
        <v>4.1399999999999997</v>
      </c>
      <c r="D183" s="3">
        <v>1.2</v>
      </c>
      <c r="E183" s="3">
        <v>5.46</v>
      </c>
      <c r="F183" s="4">
        <v>0</v>
      </c>
      <c r="G183" s="5">
        <v>7187.68</v>
      </c>
      <c r="H183" t="s">
        <v>24</v>
      </c>
      <c r="I183" t="s">
        <v>20</v>
      </c>
      <c r="J183" t="s">
        <v>18</v>
      </c>
      <c r="L183" s="3">
        <f t="shared" si="17"/>
        <v>10.8</v>
      </c>
      <c r="M183" s="3">
        <f t="shared" si="12"/>
        <v>10.8</v>
      </c>
      <c r="N183" t="b">
        <f t="shared" si="13"/>
        <v>0</v>
      </c>
      <c r="O183">
        <f t="shared" si="14"/>
        <v>1</v>
      </c>
      <c r="P183" s="3">
        <f t="shared" si="15"/>
        <v>0</v>
      </c>
      <c r="Q183" t="str">
        <f t="shared" si="16"/>
        <v>Correct</v>
      </c>
    </row>
    <row r="184" spans="1:17" x14ac:dyDescent="0.3">
      <c r="A184" t="s">
        <v>207</v>
      </c>
      <c r="B184" s="2">
        <v>46271</v>
      </c>
      <c r="C184" s="3">
        <v>3.25</v>
      </c>
      <c r="D184" s="3">
        <v>21.88</v>
      </c>
      <c r="E184" s="3">
        <v>3.83</v>
      </c>
      <c r="F184" s="4">
        <v>2</v>
      </c>
      <c r="G184" s="5">
        <v>4217.25</v>
      </c>
      <c r="H184" t="s">
        <v>24</v>
      </c>
      <c r="I184" t="s">
        <v>17</v>
      </c>
      <c r="J184" t="s">
        <v>21</v>
      </c>
      <c r="K184" t="s">
        <v>22</v>
      </c>
      <c r="L184" s="3">
        <f t="shared" si="17"/>
        <v>28.96</v>
      </c>
      <c r="M184" s="3">
        <f t="shared" si="12"/>
        <v>28.96</v>
      </c>
      <c r="N184" t="b">
        <f t="shared" si="13"/>
        <v>0</v>
      </c>
      <c r="O184">
        <f t="shared" si="14"/>
        <v>0</v>
      </c>
      <c r="P184" s="3">
        <f t="shared" si="15"/>
        <v>0</v>
      </c>
      <c r="Q184" t="str">
        <f t="shared" si="16"/>
        <v>Correct</v>
      </c>
    </row>
    <row r="185" spans="1:17" x14ac:dyDescent="0.3">
      <c r="A185" t="s">
        <v>208</v>
      </c>
      <c r="B185" s="2">
        <v>46273</v>
      </c>
      <c r="C185" s="3">
        <v>2.14</v>
      </c>
      <c r="D185" s="3">
        <v>6.18</v>
      </c>
      <c r="E185" s="3">
        <v>1.8</v>
      </c>
      <c r="F185" s="4">
        <v>0</v>
      </c>
      <c r="G185" s="5">
        <v>12697.5</v>
      </c>
      <c r="H185" t="s">
        <v>24</v>
      </c>
      <c r="I185" t="s">
        <v>17</v>
      </c>
      <c r="J185" t="s">
        <v>21</v>
      </c>
      <c r="K185" t="s">
        <v>22</v>
      </c>
      <c r="L185" s="3">
        <f t="shared" si="17"/>
        <v>10.120000000000001</v>
      </c>
      <c r="M185" s="3">
        <f t="shared" si="12"/>
        <v>10.120000000000001</v>
      </c>
      <c r="N185" t="b">
        <f t="shared" si="13"/>
        <v>0</v>
      </c>
      <c r="O185">
        <f t="shared" si="14"/>
        <v>0</v>
      </c>
      <c r="P185" s="3">
        <f t="shared" si="15"/>
        <v>0</v>
      </c>
      <c r="Q185" t="str">
        <f t="shared" si="16"/>
        <v>Correct</v>
      </c>
    </row>
    <row r="186" spans="1:17" x14ac:dyDescent="0.3">
      <c r="A186" t="s">
        <v>209</v>
      </c>
      <c r="B186" s="2">
        <v>46273</v>
      </c>
      <c r="C186" s="3">
        <v>3.31</v>
      </c>
      <c r="D186" s="3">
        <v>13.12</v>
      </c>
      <c r="E186" s="3">
        <v>2</v>
      </c>
      <c r="F186" s="4">
        <v>0</v>
      </c>
      <c r="G186" s="5">
        <v>7727.31</v>
      </c>
      <c r="H186" t="s">
        <v>24</v>
      </c>
      <c r="I186" t="s">
        <v>14</v>
      </c>
      <c r="J186" t="s">
        <v>18</v>
      </c>
      <c r="L186" s="3">
        <f t="shared" si="17"/>
        <v>18.43</v>
      </c>
      <c r="M186" s="3">
        <f t="shared" si="12"/>
        <v>18.43</v>
      </c>
      <c r="N186" t="b">
        <f t="shared" si="13"/>
        <v>0</v>
      </c>
      <c r="O186">
        <f t="shared" si="14"/>
        <v>1</v>
      </c>
      <c r="P186" s="3">
        <f t="shared" si="15"/>
        <v>0</v>
      </c>
      <c r="Q186" t="str">
        <f t="shared" si="16"/>
        <v>Correct</v>
      </c>
    </row>
    <row r="187" spans="1:17" x14ac:dyDescent="0.3">
      <c r="A187" t="s">
        <v>210</v>
      </c>
      <c r="B187" s="2">
        <v>46252</v>
      </c>
      <c r="C187" s="3">
        <v>4.2300000000000004</v>
      </c>
      <c r="D187" s="3">
        <v>4.53</v>
      </c>
      <c r="E187" s="3">
        <v>5.43</v>
      </c>
      <c r="F187" s="4">
        <v>1</v>
      </c>
      <c r="G187" s="5">
        <v>5477.18</v>
      </c>
      <c r="H187" t="s">
        <v>24</v>
      </c>
      <c r="I187" t="s">
        <v>14</v>
      </c>
      <c r="J187" t="s">
        <v>18</v>
      </c>
      <c r="L187" s="3">
        <f t="shared" si="17"/>
        <v>14.190000000000001</v>
      </c>
      <c r="M187" s="3">
        <f t="shared" si="12"/>
        <v>14.190000000000001</v>
      </c>
      <c r="N187" t="b">
        <f t="shared" si="13"/>
        <v>0</v>
      </c>
      <c r="O187">
        <f t="shared" si="14"/>
        <v>1</v>
      </c>
      <c r="P187" s="3">
        <f t="shared" si="15"/>
        <v>0</v>
      </c>
      <c r="Q187" t="str">
        <f t="shared" si="16"/>
        <v>Correct</v>
      </c>
    </row>
    <row r="188" spans="1:17" x14ac:dyDescent="0.3">
      <c r="A188" t="s">
        <v>211</v>
      </c>
      <c r="B188" s="2">
        <v>46253</v>
      </c>
      <c r="C188" s="3">
        <v>2.61</v>
      </c>
      <c r="D188" s="3">
        <v>4.21</v>
      </c>
      <c r="E188" s="3">
        <v>2.1</v>
      </c>
      <c r="F188" s="4">
        <v>0</v>
      </c>
      <c r="G188" s="5">
        <v>7295.3</v>
      </c>
      <c r="H188" t="s">
        <v>24</v>
      </c>
      <c r="I188" t="s">
        <v>17</v>
      </c>
      <c r="J188" t="s">
        <v>18</v>
      </c>
      <c r="L188" s="3">
        <f t="shared" si="17"/>
        <v>8.92</v>
      </c>
      <c r="M188" s="3">
        <f t="shared" si="12"/>
        <v>8.92</v>
      </c>
      <c r="N188" t="b">
        <f t="shared" si="13"/>
        <v>0</v>
      </c>
      <c r="O188">
        <f t="shared" si="14"/>
        <v>1</v>
      </c>
      <c r="P188" s="3">
        <f t="shared" si="15"/>
        <v>0</v>
      </c>
      <c r="Q188" t="str">
        <f t="shared" si="16"/>
        <v>Correct</v>
      </c>
    </row>
    <row r="189" spans="1:17" x14ac:dyDescent="0.3">
      <c r="A189" t="s">
        <v>212</v>
      </c>
      <c r="B189" s="2">
        <v>46250</v>
      </c>
      <c r="C189" s="3">
        <v>6.3</v>
      </c>
      <c r="D189" s="3">
        <v>12.41</v>
      </c>
      <c r="E189" s="3">
        <v>5.64</v>
      </c>
      <c r="F189" s="4">
        <v>2</v>
      </c>
      <c r="G189" s="5">
        <v>30388.16</v>
      </c>
      <c r="H189" t="s">
        <v>13</v>
      </c>
      <c r="I189" t="s">
        <v>26</v>
      </c>
      <c r="J189" t="s">
        <v>18</v>
      </c>
      <c r="L189" s="3">
        <f t="shared" si="17"/>
        <v>24.35</v>
      </c>
      <c r="M189" s="3">
        <f t="shared" si="12"/>
        <v>24.35</v>
      </c>
      <c r="N189" t="b">
        <f t="shared" si="13"/>
        <v>0</v>
      </c>
      <c r="O189">
        <f t="shared" si="14"/>
        <v>1</v>
      </c>
      <c r="P189" s="3">
        <f t="shared" si="15"/>
        <v>0</v>
      </c>
      <c r="Q189" t="str">
        <f t="shared" si="16"/>
        <v>Correct</v>
      </c>
    </row>
    <row r="190" spans="1:17" x14ac:dyDescent="0.3">
      <c r="A190" t="s">
        <v>213</v>
      </c>
      <c r="B190" s="2">
        <v>46262</v>
      </c>
      <c r="C190" s="3">
        <v>2.77</v>
      </c>
      <c r="D190" s="3">
        <v>7.22</v>
      </c>
      <c r="E190" s="3">
        <v>2.63</v>
      </c>
      <c r="F190" s="4">
        <v>1</v>
      </c>
      <c r="G190" s="5">
        <v>32459.93</v>
      </c>
      <c r="H190" t="s">
        <v>13</v>
      </c>
      <c r="I190" t="s">
        <v>14</v>
      </c>
      <c r="J190" t="s">
        <v>18</v>
      </c>
      <c r="L190" s="3">
        <f t="shared" si="17"/>
        <v>12.620000000000001</v>
      </c>
      <c r="M190" s="3">
        <f t="shared" si="12"/>
        <v>12.620000000000001</v>
      </c>
      <c r="N190" t="b">
        <f t="shared" si="13"/>
        <v>0</v>
      </c>
      <c r="O190">
        <f t="shared" si="14"/>
        <v>1</v>
      </c>
      <c r="P190" s="3">
        <f t="shared" si="15"/>
        <v>0</v>
      </c>
      <c r="Q190" t="str">
        <f t="shared" si="16"/>
        <v>Correct</v>
      </c>
    </row>
    <row r="191" spans="1:17" x14ac:dyDescent="0.3">
      <c r="A191" t="s">
        <v>214</v>
      </c>
      <c r="B191" s="2">
        <v>46270</v>
      </c>
      <c r="C191" s="3">
        <v>0.81</v>
      </c>
      <c r="D191" s="3">
        <v>16.3</v>
      </c>
      <c r="E191" s="3">
        <v>3.46</v>
      </c>
      <c r="F191" s="4">
        <v>1</v>
      </c>
      <c r="G191" s="5">
        <v>9214.06</v>
      </c>
      <c r="H191" t="s">
        <v>24</v>
      </c>
      <c r="I191" t="s">
        <v>26</v>
      </c>
      <c r="J191" t="s">
        <v>18</v>
      </c>
      <c r="L191" s="3">
        <f t="shared" si="17"/>
        <v>20.57</v>
      </c>
      <c r="M191" s="3">
        <f t="shared" si="12"/>
        <v>20.57</v>
      </c>
      <c r="N191" t="b">
        <f t="shared" si="13"/>
        <v>0</v>
      </c>
      <c r="O191">
        <f t="shared" si="14"/>
        <v>1</v>
      </c>
      <c r="P191" s="3">
        <f t="shared" si="15"/>
        <v>0</v>
      </c>
      <c r="Q191" t="str">
        <f t="shared" si="16"/>
        <v>Correct</v>
      </c>
    </row>
    <row r="192" spans="1:17" x14ac:dyDescent="0.3">
      <c r="A192" t="s">
        <v>215</v>
      </c>
      <c r="B192" s="2">
        <v>46256</v>
      </c>
      <c r="C192" s="3">
        <v>2.0699999999999998</v>
      </c>
      <c r="D192" s="3">
        <v>2.5</v>
      </c>
      <c r="E192" s="3">
        <v>7.3</v>
      </c>
      <c r="F192" s="4">
        <v>0</v>
      </c>
      <c r="G192" s="5">
        <v>13912.01</v>
      </c>
      <c r="H192" t="s">
        <v>24</v>
      </c>
      <c r="I192" t="s">
        <v>20</v>
      </c>
      <c r="J192" t="s">
        <v>18</v>
      </c>
      <c r="L192" s="3">
        <f t="shared" si="17"/>
        <v>11.870000000000001</v>
      </c>
      <c r="M192" s="3">
        <f t="shared" si="12"/>
        <v>11.870000000000001</v>
      </c>
      <c r="N192" t="b">
        <f t="shared" si="13"/>
        <v>0</v>
      </c>
      <c r="O192">
        <f t="shared" si="14"/>
        <v>1</v>
      </c>
      <c r="P192" s="3">
        <f t="shared" si="15"/>
        <v>0</v>
      </c>
      <c r="Q192" t="str">
        <f t="shared" si="16"/>
        <v>Correct</v>
      </c>
    </row>
    <row r="193" spans="1:17" x14ac:dyDescent="0.3">
      <c r="A193" t="s">
        <v>216</v>
      </c>
      <c r="B193" s="2">
        <v>46259</v>
      </c>
      <c r="C193" s="3">
        <v>3.4</v>
      </c>
      <c r="D193" s="3">
        <v>12.75</v>
      </c>
      <c r="E193" s="3">
        <v>2.11</v>
      </c>
      <c r="F193" s="4">
        <v>0</v>
      </c>
      <c r="G193" s="5">
        <v>53213.58</v>
      </c>
      <c r="H193" t="s">
        <v>13</v>
      </c>
      <c r="I193" t="s">
        <v>26</v>
      </c>
      <c r="J193" t="s">
        <v>18</v>
      </c>
      <c r="L193" s="3">
        <f t="shared" si="17"/>
        <v>18.259999999999998</v>
      </c>
      <c r="M193" s="3">
        <f t="shared" si="12"/>
        <v>18.259999999999998</v>
      </c>
      <c r="N193" t="b">
        <f t="shared" si="13"/>
        <v>0</v>
      </c>
      <c r="O193">
        <f t="shared" si="14"/>
        <v>1</v>
      </c>
      <c r="P193" s="3">
        <f t="shared" si="15"/>
        <v>0</v>
      </c>
      <c r="Q193" t="str">
        <f t="shared" si="16"/>
        <v>Correct</v>
      </c>
    </row>
    <row r="194" spans="1:17" x14ac:dyDescent="0.3">
      <c r="A194" t="s">
        <v>217</v>
      </c>
      <c r="B194" s="2">
        <v>46252</v>
      </c>
      <c r="C194" s="3">
        <v>4.2300000000000004</v>
      </c>
      <c r="D194" s="3">
        <v>9.77</v>
      </c>
      <c r="E194" s="3">
        <v>5.92</v>
      </c>
      <c r="F194" s="4">
        <v>1</v>
      </c>
      <c r="G194" s="5">
        <v>10074.91</v>
      </c>
      <c r="H194" t="s">
        <v>24</v>
      </c>
      <c r="I194" t="s">
        <v>26</v>
      </c>
      <c r="J194" t="s">
        <v>18</v>
      </c>
      <c r="L194" s="3">
        <f t="shared" si="17"/>
        <v>19.920000000000002</v>
      </c>
      <c r="M194" s="3">
        <f t="shared" ref="M194:M257" si="18">SUM(C194:E194)</f>
        <v>19.920000000000002</v>
      </c>
      <c r="N194" t="b">
        <f t="shared" ref="N194:N257" si="19">COUNTIF(A:A,A194)&gt;1</f>
        <v>0</v>
      </c>
      <c r="O194">
        <f t="shared" ref="O194:O257" si="20">COUNTBLANK(A194:L194)</f>
        <v>1</v>
      </c>
      <c r="P194" s="3">
        <f t="shared" ref="P194:P257" si="21">COUNTBLANK(A194:J194)+COUNTBLANK(L194)</f>
        <v>0</v>
      </c>
      <c r="Q194" t="str">
        <f t="shared" ref="Q194:Q257" si="22">IF(L194=M194,"Correct","Mismatch")</f>
        <v>Correct</v>
      </c>
    </row>
    <row r="195" spans="1:17" x14ac:dyDescent="0.3">
      <c r="A195" t="s">
        <v>218</v>
      </c>
      <c r="B195" s="2">
        <v>46248</v>
      </c>
      <c r="C195" s="3">
        <v>1.95</v>
      </c>
      <c r="D195" s="3">
        <v>6.72</v>
      </c>
      <c r="E195" s="3">
        <v>4.8899999999999997</v>
      </c>
      <c r="F195" s="4">
        <v>0</v>
      </c>
      <c r="G195" s="5">
        <v>10732.45</v>
      </c>
      <c r="H195" t="s">
        <v>24</v>
      </c>
      <c r="I195" t="s">
        <v>20</v>
      </c>
      <c r="J195" t="s">
        <v>18</v>
      </c>
      <c r="L195" s="3">
        <f t="shared" ref="L195:L258" si="23">SUM(C195:E195)</f>
        <v>13.559999999999999</v>
      </c>
      <c r="M195" s="3">
        <f t="shared" si="18"/>
        <v>13.559999999999999</v>
      </c>
      <c r="N195" t="b">
        <f t="shared" si="19"/>
        <v>0</v>
      </c>
      <c r="O195">
        <f t="shared" si="20"/>
        <v>1</v>
      </c>
      <c r="P195" s="3">
        <f t="shared" si="21"/>
        <v>0</v>
      </c>
      <c r="Q195" t="str">
        <f t="shared" si="22"/>
        <v>Correct</v>
      </c>
    </row>
    <row r="196" spans="1:17" x14ac:dyDescent="0.3">
      <c r="A196" t="s">
        <v>219</v>
      </c>
      <c r="B196" s="2">
        <v>46274</v>
      </c>
      <c r="C196" s="3">
        <v>0.76</v>
      </c>
      <c r="D196" s="3">
        <v>13.26</v>
      </c>
      <c r="E196" s="3">
        <v>3.41</v>
      </c>
      <c r="F196" s="4">
        <v>0</v>
      </c>
      <c r="G196" s="5">
        <v>36140.269999999997</v>
      </c>
      <c r="H196" t="s">
        <v>13</v>
      </c>
      <c r="I196" t="s">
        <v>26</v>
      </c>
      <c r="J196" t="s">
        <v>18</v>
      </c>
      <c r="L196" s="3">
        <f t="shared" si="23"/>
        <v>17.43</v>
      </c>
      <c r="M196" s="3">
        <f t="shared" si="18"/>
        <v>17.43</v>
      </c>
      <c r="N196" t="b">
        <f t="shared" si="19"/>
        <v>0</v>
      </c>
      <c r="O196">
        <f t="shared" si="20"/>
        <v>1</v>
      </c>
      <c r="P196" s="3">
        <f t="shared" si="21"/>
        <v>0</v>
      </c>
      <c r="Q196" t="str">
        <f t="shared" si="22"/>
        <v>Correct</v>
      </c>
    </row>
    <row r="197" spans="1:17" x14ac:dyDescent="0.3">
      <c r="A197" t="s">
        <v>220</v>
      </c>
      <c r="B197" s="2">
        <v>46283</v>
      </c>
      <c r="C197" s="3">
        <v>1.43</v>
      </c>
      <c r="D197" s="3">
        <v>3.81</v>
      </c>
      <c r="E197" s="3">
        <v>8.7899999999999991</v>
      </c>
      <c r="F197" s="4">
        <v>0</v>
      </c>
      <c r="G197" s="5">
        <v>12575.45</v>
      </c>
      <c r="H197" t="s">
        <v>24</v>
      </c>
      <c r="I197" t="s">
        <v>26</v>
      </c>
      <c r="J197" t="s">
        <v>18</v>
      </c>
      <c r="L197" s="3">
        <f t="shared" si="23"/>
        <v>14.03</v>
      </c>
      <c r="M197" s="3">
        <f t="shared" si="18"/>
        <v>14.03</v>
      </c>
      <c r="N197" t="b">
        <f t="shared" si="19"/>
        <v>0</v>
      </c>
      <c r="O197">
        <f t="shared" si="20"/>
        <v>1</v>
      </c>
      <c r="P197" s="3">
        <f t="shared" si="21"/>
        <v>0</v>
      </c>
      <c r="Q197" t="str">
        <f t="shared" si="22"/>
        <v>Correct</v>
      </c>
    </row>
    <row r="198" spans="1:17" x14ac:dyDescent="0.3">
      <c r="A198" t="s">
        <v>221</v>
      </c>
      <c r="B198" s="2">
        <v>46252</v>
      </c>
      <c r="C198" s="3">
        <v>0.47</v>
      </c>
      <c r="D198" s="3">
        <v>2.85</v>
      </c>
      <c r="E198" s="3">
        <v>5.22</v>
      </c>
      <c r="F198" s="4">
        <v>1</v>
      </c>
      <c r="G198" s="5">
        <v>28843.31</v>
      </c>
      <c r="H198" t="s">
        <v>13</v>
      </c>
      <c r="I198" t="s">
        <v>14</v>
      </c>
      <c r="J198" t="s">
        <v>18</v>
      </c>
      <c r="L198" s="3">
        <f t="shared" si="23"/>
        <v>8.5399999999999991</v>
      </c>
      <c r="M198" s="3">
        <f t="shared" si="18"/>
        <v>8.5399999999999991</v>
      </c>
      <c r="N198" t="b">
        <f t="shared" si="19"/>
        <v>0</v>
      </c>
      <c r="O198">
        <f t="shared" si="20"/>
        <v>1</v>
      </c>
      <c r="P198" s="3">
        <f t="shared" si="21"/>
        <v>0</v>
      </c>
      <c r="Q198" t="str">
        <f t="shared" si="22"/>
        <v>Correct</v>
      </c>
    </row>
    <row r="199" spans="1:17" x14ac:dyDescent="0.3">
      <c r="A199" t="s">
        <v>222</v>
      </c>
      <c r="B199" s="2">
        <v>46286</v>
      </c>
      <c r="C199" s="3">
        <v>2.97</v>
      </c>
      <c r="D199" s="3">
        <v>2.73</v>
      </c>
      <c r="E199" s="3">
        <v>3.99</v>
      </c>
      <c r="F199" s="4">
        <v>0</v>
      </c>
      <c r="G199" s="5">
        <v>13100.44</v>
      </c>
      <c r="H199" t="s">
        <v>24</v>
      </c>
      <c r="I199" t="s">
        <v>20</v>
      </c>
      <c r="J199" t="s">
        <v>15</v>
      </c>
      <c r="L199" s="3">
        <f t="shared" si="23"/>
        <v>9.6900000000000013</v>
      </c>
      <c r="M199" s="3">
        <f t="shared" si="18"/>
        <v>9.6900000000000013</v>
      </c>
      <c r="N199" t="b">
        <f t="shared" si="19"/>
        <v>0</v>
      </c>
      <c r="O199">
        <f t="shared" si="20"/>
        <v>1</v>
      </c>
      <c r="P199" s="3">
        <f t="shared" si="21"/>
        <v>0</v>
      </c>
      <c r="Q199" t="str">
        <f t="shared" si="22"/>
        <v>Correct</v>
      </c>
    </row>
    <row r="200" spans="1:17" x14ac:dyDescent="0.3">
      <c r="A200" t="s">
        <v>223</v>
      </c>
      <c r="B200" s="2">
        <v>46269</v>
      </c>
      <c r="C200" s="3">
        <v>1.21</v>
      </c>
      <c r="D200" s="3">
        <v>4.3099999999999996</v>
      </c>
      <c r="E200" s="3">
        <v>3.08</v>
      </c>
      <c r="F200" s="4">
        <v>0</v>
      </c>
      <c r="G200" s="5">
        <v>13406.87</v>
      </c>
      <c r="H200" t="s">
        <v>24</v>
      </c>
      <c r="I200" t="s">
        <v>26</v>
      </c>
      <c r="J200" t="s">
        <v>18</v>
      </c>
      <c r="L200" s="3">
        <f t="shared" si="23"/>
        <v>8.6</v>
      </c>
      <c r="M200" s="3">
        <f t="shared" si="18"/>
        <v>8.6</v>
      </c>
      <c r="N200" t="b">
        <f t="shared" si="19"/>
        <v>0</v>
      </c>
      <c r="O200">
        <f t="shared" si="20"/>
        <v>1</v>
      </c>
      <c r="P200" s="3">
        <f t="shared" si="21"/>
        <v>0</v>
      </c>
      <c r="Q200" t="str">
        <f t="shared" si="22"/>
        <v>Correct</v>
      </c>
    </row>
    <row r="201" spans="1:17" x14ac:dyDescent="0.3">
      <c r="A201" t="s">
        <v>224</v>
      </c>
      <c r="B201" s="2">
        <v>46245</v>
      </c>
      <c r="C201" s="3">
        <v>0.93</v>
      </c>
      <c r="D201" s="3">
        <v>11.47</v>
      </c>
      <c r="E201" s="3">
        <v>7.37</v>
      </c>
      <c r="F201" s="4">
        <v>1</v>
      </c>
      <c r="G201" s="5">
        <v>1989.35</v>
      </c>
      <c r="H201" t="s">
        <v>24</v>
      </c>
      <c r="I201" t="s">
        <v>17</v>
      </c>
      <c r="J201" t="s">
        <v>18</v>
      </c>
      <c r="L201" s="3">
        <f t="shared" si="23"/>
        <v>19.77</v>
      </c>
      <c r="M201" s="3">
        <f t="shared" si="18"/>
        <v>19.77</v>
      </c>
      <c r="N201" t="b">
        <f t="shared" si="19"/>
        <v>0</v>
      </c>
      <c r="O201">
        <f t="shared" si="20"/>
        <v>1</v>
      </c>
      <c r="P201" s="3">
        <f t="shared" si="21"/>
        <v>0</v>
      </c>
      <c r="Q201" t="str">
        <f t="shared" si="22"/>
        <v>Correct</v>
      </c>
    </row>
    <row r="202" spans="1:17" x14ac:dyDescent="0.3">
      <c r="A202" t="s">
        <v>225</v>
      </c>
      <c r="B202" s="2">
        <v>46256</v>
      </c>
      <c r="C202" s="3">
        <v>3.18</v>
      </c>
      <c r="D202" s="3">
        <v>2.23</v>
      </c>
      <c r="E202" s="3">
        <v>1.87</v>
      </c>
      <c r="F202" s="4">
        <v>0</v>
      </c>
      <c r="G202" s="5">
        <v>19047.060000000001</v>
      </c>
      <c r="H202" t="s">
        <v>24</v>
      </c>
      <c r="I202" t="s">
        <v>14</v>
      </c>
      <c r="J202" t="s">
        <v>18</v>
      </c>
      <c r="L202" s="3">
        <f t="shared" si="23"/>
        <v>7.28</v>
      </c>
      <c r="M202" s="3">
        <f t="shared" si="18"/>
        <v>7.28</v>
      </c>
      <c r="N202" t="b">
        <f t="shared" si="19"/>
        <v>0</v>
      </c>
      <c r="O202">
        <f t="shared" si="20"/>
        <v>1</v>
      </c>
      <c r="P202" s="3">
        <f t="shared" si="21"/>
        <v>0</v>
      </c>
      <c r="Q202" t="str">
        <f t="shared" si="22"/>
        <v>Correct</v>
      </c>
    </row>
    <row r="203" spans="1:17" x14ac:dyDescent="0.3">
      <c r="A203" t="s">
        <v>226</v>
      </c>
      <c r="B203" s="2">
        <v>46235</v>
      </c>
      <c r="C203" s="3">
        <v>4.8499999999999996</v>
      </c>
      <c r="D203" s="3">
        <v>3.21</v>
      </c>
      <c r="E203" s="3">
        <v>9.26</v>
      </c>
      <c r="F203" s="4">
        <v>0</v>
      </c>
      <c r="G203" s="5">
        <v>1851.59</v>
      </c>
      <c r="H203" t="s">
        <v>24</v>
      </c>
      <c r="I203" t="s">
        <v>20</v>
      </c>
      <c r="J203" t="s">
        <v>18</v>
      </c>
      <c r="L203" s="3">
        <f t="shared" si="23"/>
        <v>17.32</v>
      </c>
      <c r="M203" s="3">
        <f t="shared" si="18"/>
        <v>17.32</v>
      </c>
      <c r="N203" t="b">
        <f t="shared" si="19"/>
        <v>0</v>
      </c>
      <c r="O203">
        <f t="shared" si="20"/>
        <v>1</v>
      </c>
      <c r="P203" s="3">
        <f t="shared" si="21"/>
        <v>0</v>
      </c>
      <c r="Q203" t="str">
        <f t="shared" si="22"/>
        <v>Correct</v>
      </c>
    </row>
    <row r="204" spans="1:17" x14ac:dyDescent="0.3">
      <c r="A204" t="s">
        <v>227</v>
      </c>
      <c r="B204" s="2">
        <v>46237</v>
      </c>
      <c r="C204" s="3">
        <v>0.93</v>
      </c>
      <c r="D204" s="3">
        <v>3.93</v>
      </c>
      <c r="E204" s="3">
        <v>1.51</v>
      </c>
      <c r="F204" s="4">
        <v>0</v>
      </c>
      <c r="G204" s="5">
        <v>7052.75</v>
      </c>
      <c r="H204" t="s">
        <v>24</v>
      </c>
      <c r="I204" t="s">
        <v>17</v>
      </c>
      <c r="J204" t="s">
        <v>18</v>
      </c>
      <c r="L204" s="3">
        <f t="shared" si="23"/>
        <v>6.37</v>
      </c>
      <c r="M204" s="3">
        <f t="shared" si="18"/>
        <v>6.37</v>
      </c>
      <c r="N204" t="b">
        <f t="shared" si="19"/>
        <v>0</v>
      </c>
      <c r="O204">
        <f t="shared" si="20"/>
        <v>1</v>
      </c>
      <c r="P204" s="3">
        <f t="shared" si="21"/>
        <v>0</v>
      </c>
      <c r="Q204" t="str">
        <f t="shared" si="22"/>
        <v>Correct</v>
      </c>
    </row>
    <row r="205" spans="1:17" x14ac:dyDescent="0.3">
      <c r="A205" t="s">
        <v>228</v>
      </c>
      <c r="B205" s="2">
        <v>46255</v>
      </c>
      <c r="C205" s="3">
        <v>1.95</v>
      </c>
      <c r="D205" s="3">
        <v>10.5</v>
      </c>
      <c r="E205" s="3">
        <v>10.44</v>
      </c>
      <c r="F205" s="4">
        <v>1</v>
      </c>
      <c r="G205" s="5">
        <v>62788.03</v>
      </c>
      <c r="H205" t="s">
        <v>13</v>
      </c>
      <c r="I205" t="s">
        <v>26</v>
      </c>
      <c r="J205" t="s">
        <v>18</v>
      </c>
      <c r="L205" s="3">
        <f t="shared" si="23"/>
        <v>22.89</v>
      </c>
      <c r="M205" s="3">
        <f t="shared" si="18"/>
        <v>22.89</v>
      </c>
      <c r="N205" t="b">
        <f t="shared" si="19"/>
        <v>0</v>
      </c>
      <c r="O205">
        <f t="shared" si="20"/>
        <v>1</v>
      </c>
      <c r="P205" s="3">
        <f t="shared" si="21"/>
        <v>0</v>
      </c>
      <c r="Q205" t="str">
        <f t="shared" si="22"/>
        <v>Correct</v>
      </c>
    </row>
    <row r="206" spans="1:17" x14ac:dyDescent="0.3">
      <c r="A206" t="s">
        <v>229</v>
      </c>
      <c r="B206" s="2">
        <v>46262</v>
      </c>
      <c r="C206" s="3">
        <v>1.47</v>
      </c>
      <c r="D206" s="3">
        <v>13.05</v>
      </c>
      <c r="E206" s="3">
        <v>1.0900000000000001</v>
      </c>
      <c r="F206" s="4">
        <v>0</v>
      </c>
      <c r="G206" s="5">
        <v>8312.31</v>
      </c>
      <c r="H206" t="s">
        <v>24</v>
      </c>
      <c r="I206" t="s">
        <v>26</v>
      </c>
      <c r="J206" t="s">
        <v>18</v>
      </c>
      <c r="L206" s="3">
        <f t="shared" si="23"/>
        <v>15.610000000000001</v>
      </c>
      <c r="M206" s="3">
        <f t="shared" si="18"/>
        <v>15.610000000000001</v>
      </c>
      <c r="N206" t="b">
        <f t="shared" si="19"/>
        <v>0</v>
      </c>
      <c r="O206">
        <f t="shared" si="20"/>
        <v>1</v>
      </c>
      <c r="P206" s="3">
        <f t="shared" si="21"/>
        <v>0</v>
      </c>
      <c r="Q206" t="str">
        <f t="shared" si="22"/>
        <v>Correct</v>
      </c>
    </row>
    <row r="207" spans="1:17" x14ac:dyDescent="0.3">
      <c r="A207" t="s">
        <v>230</v>
      </c>
      <c r="B207" s="2">
        <v>46282</v>
      </c>
      <c r="C207" s="3">
        <v>4.37</v>
      </c>
      <c r="D207" s="3">
        <v>1.82</v>
      </c>
      <c r="E207" s="3">
        <v>4.08</v>
      </c>
      <c r="F207" s="4">
        <v>0</v>
      </c>
      <c r="G207" s="5">
        <v>4418.6899999999996</v>
      </c>
      <c r="H207" t="s">
        <v>24</v>
      </c>
      <c r="I207" t="s">
        <v>26</v>
      </c>
      <c r="J207" t="s">
        <v>18</v>
      </c>
      <c r="L207" s="3">
        <f t="shared" si="23"/>
        <v>10.27</v>
      </c>
      <c r="M207" s="3">
        <f t="shared" si="18"/>
        <v>10.27</v>
      </c>
      <c r="N207" t="b">
        <f t="shared" si="19"/>
        <v>0</v>
      </c>
      <c r="O207">
        <f t="shared" si="20"/>
        <v>1</v>
      </c>
      <c r="P207" s="3">
        <f t="shared" si="21"/>
        <v>0</v>
      </c>
      <c r="Q207" t="str">
        <f t="shared" si="22"/>
        <v>Correct</v>
      </c>
    </row>
    <row r="208" spans="1:17" x14ac:dyDescent="0.3">
      <c r="A208" t="s">
        <v>231</v>
      </c>
      <c r="B208" s="2">
        <v>46243</v>
      </c>
      <c r="C208" s="3">
        <v>1.61</v>
      </c>
      <c r="D208" s="3">
        <v>8.1300000000000008</v>
      </c>
      <c r="E208" s="3">
        <v>2.58</v>
      </c>
      <c r="F208" s="4">
        <v>0</v>
      </c>
      <c r="G208" s="5">
        <v>32225.9</v>
      </c>
      <c r="H208" t="s">
        <v>13</v>
      </c>
      <c r="I208" t="s">
        <v>26</v>
      </c>
      <c r="J208" t="s">
        <v>18</v>
      </c>
      <c r="L208" s="3">
        <f t="shared" si="23"/>
        <v>12.32</v>
      </c>
      <c r="M208" s="3">
        <f t="shared" si="18"/>
        <v>12.32</v>
      </c>
      <c r="N208" t="b">
        <f t="shared" si="19"/>
        <v>0</v>
      </c>
      <c r="O208">
        <f t="shared" si="20"/>
        <v>1</v>
      </c>
      <c r="P208" s="3">
        <f t="shared" si="21"/>
        <v>0</v>
      </c>
      <c r="Q208" t="str">
        <f t="shared" si="22"/>
        <v>Correct</v>
      </c>
    </row>
    <row r="209" spans="1:17" x14ac:dyDescent="0.3">
      <c r="A209" t="s">
        <v>232</v>
      </c>
      <c r="B209" s="2">
        <v>46285</v>
      </c>
      <c r="C209" s="3">
        <v>0.69</v>
      </c>
      <c r="D209" s="3">
        <v>11.37</v>
      </c>
      <c r="E209" s="3">
        <v>6.48</v>
      </c>
      <c r="F209" s="4">
        <v>3</v>
      </c>
      <c r="G209" s="5">
        <v>32364.75</v>
      </c>
      <c r="H209" t="s">
        <v>13</v>
      </c>
      <c r="I209" t="s">
        <v>14</v>
      </c>
      <c r="J209" t="s">
        <v>21</v>
      </c>
      <c r="K209" t="s">
        <v>22</v>
      </c>
      <c r="L209" s="3">
        <f t="shared" si="23"/>
        <v>18.54</v>
      </c>
      <c r="M209" s="3">
        <f t="shared" si="18"/>
        <v>18.54</v>
      </c>
      <c r="N209" t="b">
        <f t="shared" si="19"/>
        <v>0</v>
      </c>
      <c r="O209">
        <f t="shared" si="20"/>
        <v>0</v>
      </c>
      <c r="P209" s="3">
        <f t="shared" si="21"/>
        <v>0</v>
      </c>
      <c r="Q209" t="str">
        <f t="shared" si="22"/>
        <v>Correct</v>
      </c>
    </row>
    <row r="210" spans="1:17" x14ac:dyDescent="0.3">
      <c r="A210" t="s">
        <v>233</v>
      </c>
      <c r="B210" s="2">
        <v>46249</v>
      </c>
      <c r="C210" s="3">
        <v>1.67</v>
      </c>
      <c r="D210" s="3">
        <v>3.57</v>
      </c>
      <c r="E210" s="3">
        <v>5.47</v>
      </c>
      <c r="F210" s="4">
        <v>1</v>
      </c>
      <c r="G210" s="5">
        <v>3439.81</v>
      </c>
      <c r="H210" t="s">
        <v>24</v>
      </c>
      <c r="I210" t="s">
        <v>26</v>
      </c>
      <c r="J210" t="s">
        <v>18</v>
      </c>
      <c r="L210" s="3">
        <f t="shared" si="23"/>
        <v>10.71</v>
      </c>
      <c r="M210" s="3">
        <f t="shared" si="18"/>
        <v>10.71</v>
      </c>
      <c r="N210" t="b">
        <f t="shared" si="19"/>
        <v>0</v>
      </c>
      <c r="O210">
        <f t="shared" si="20"/>
        <v>1</v>
      </c>
      <c r="P210" s="3">
        <f t="shared" si="21"/>
        <v>0</v>
      </c>
      <c r="Q210" t="str">
        <f t="shared" si="22"/>
        <v>Correct</v>
      </c>
    </row>
    <row r="211" spans="1:17" x14ac:dyDescent="0.3">
      <c r="A211" t="s">
        <v>234</v>
      </c>
      <c r="B211" s="2">
        <v>46243</v>
      </c>
      <c r="C211" s="3">
        <v>3.76</v>
      </c>
      <c r="D211" s="3">
        <v>2.08</v>
      </c>
      <c r="E211" s="3">
        <v>4.6500000000000004</v>
      </c>
      <c r="F211" s="4">
        <v>0</v>
      </c>
      <c r="G211" s="5">
        <v>18415.45</v>
      </c>
      <c r="H211" t="s">
        <v>24</v>
      </c>
      <c r="I211" t="s">
        <v>17</v>
      </c>
      <c r="J211" t="s">
        <v>18</v>
      </c>
      <c r="L211" s="3">
        <f t="shared" si="23"/>
        <v>10.49</v>
      </c>
      <c r="M211" s="3">
        <f t="shared" si="18"/>
        <v>10.49</v>
      </c>
      <c r="N211" t="b">
        <f t="shared" si="19"/>
        <v>0</v>
      </c>
      <c r="O211">
        <f t="shared" si="20"/>
        <v>1</v>
      </c>
      <c r="P211" s="3">
        <f t="shared" si="21"/>
        <v>0</v>
      </c>
      <c r="Q211" t="str">
        <f t="shared" si="22"/>
        <v>Correct</v>
      </c>
    </row>
    <row r="212" spans="1:17" x14ac:dyDescent="0.3">
      <c r="A212" t="s">
        <v>235</v>
      </c>
      <c r="B212" s="2">
        <v>46276</v>
      </c>
      <c r="C212" s="3">
        <v>1.41</v>
      </c>
      <c r="D212" s="3">
        <v>12.34</v>
      </c>
      <c r="E212" s="3">
        <v>1.05</v>
      </c>
      <c r="F212" s="4">
        <v>0</v>
      </c>
      <c r="G212" s="5">
        <v>40123.71</v>
      </c>
      <c r="H212" t="s">
        <v>13</v>
      </c>
      <c r="I212" t="s">
        <v>14</v>
      </c>
      <c r="J212" t="s">
        <v>18</v>
      </c>
      <c r="L212" s="3">
        <f t="shared" si="23"/>
        <v>14.8</v>
      </c>
      <c r="M212" s="3">
        <f t="shared" si="18"/>
        <v>14.8</v>
      </c>
      <c r="N212" t="b">
        <f t="shared" si="19"/>
        <v>0</v>
      </c>
      <c r="O212">
        <f t="shared" si="20"/>
        <v>1</v>
      </c>
      <c r="P212" s="3">
        <f t="shared" si="21"/>
        <v>0</v>
      </c>
      <c r="Q212" t="str">
        <f t="shared" si="22"/>
        <v>Correct</v>
      </c>
    </row>
    <row r="213" spans="1:17" x14ac:dyDescent="0.3">
      <c r="A213" t="s">
        <v>236</v>
      </c>
      <c r="B213" s="2">
        <v>46281</v>
      </c>
      <c r="C213" s="3">
        <v>1.02</v>
      </c>
      <c r="D213" s="3">
        <v>1.19</v>
      </c>
      <c r="E213" s="3">
        <v>2.29</v>
      </c>
      <c r="F213" s="4">
        <v>1</v>
      </c>
      <c r="G213" s="5">
        <v>5136.78</v>
      </c>
      <c r="H213" t="s">
        <v>24</v>
      </c>
      <c r="I213" t="s">
        <v>14</v>
      </c>
      <c r="J213" t="s">
        <v>18</v>
      </c>
      <c r="L213" s="3">
        <f t="shared" si="23"/>
        <v>4.5</v>
      </c>
      <c r="M213" s="3">
        <f t="shared" si="18"/>
        <v>4.5</v>
      </c>
      <c r="N213" t="b">
        <f t="shared" si="19"/>
        <v>0</v>
      </c>
      <c r="O213">
        <f t="shared" si="20"/>
        <v>1</v>
      </c>
      <c r="P213" s="3">
        <f t="shared" si="21"/>
        <v>0</v>
      </c>
      <c r="Q213" t="str">
        <f t="shared" si="22"/>
        <v>Correct</v>
      </c>
    </row>
    <row r="214" spans="1:17" x14ac:dyDescent="0.3">
      <c r="A214" t="s">
        <v>237</v>
      </c>
      <c r="B214" s="2">
        <v>46271</v>
      </c>
      <c r="C214" s="3">
        <v>1.56</v>
      </c>
      <c r="D214" s="3">
        <v>14.71</v>
      </c>
      <c r="E214" s="3">
        <v>0.9</v>
      </c>
      <c r="F214" s="4">
        <v>0</v>
      </c>
      <c r="G214" s="5">
        <v>57150.01</v>
      </c>
      <c r="H214" t="s">
        <v>13</v>
      </c>
      <c r="I214" t="s">
        <v>26</v>
      </c>
      <c r="J214" t="s">
        <v>18</v>
      </c>
      <c r="L214" s="3">
        <f t="shared" si="23"/>
        <v>17.169999999999998</v>
      </c>
      <c r="M214" s="3">
        <f t="shared" si="18"/>
        <v>17.169999999999998</v>
      </c>
      <c r="N214" t="b">
        <f t="shared" si="19"/>
        <v>0</v>
      </c>
      <c r="O214">
        <f t="shared" si="20"/>
        <v>1</v>
      </c>
      <c r="P214" s="3">
        <f t="shared" si="21"/>
        <v>0</v>
      </c>
      <c r="Q214" t="str">
        <f t="shared" si="22"/>
        <v>Correct</v>
      </c>
    </row>
    <row r="215" spans="1:17" x14ac:dyDescent="0.3">
      <c r="A215" t="s">
        <v>238</v>
      </c>
      <c r="B215" s="2">
        <v>46241</v>
      </c>
      <c r="C215" s="3">
        <v>0.71</v>
      </c>
      <c r="D215" s="3">
        <v>3.16</v>
      </c>
      <c r="E215" s="3">
        <v>0.88</v>
      </c>
      <c r="F215" s="4">
        <v>0</v>
      </c>
      <c r="G215" s="5">
        <v>60272.6</v>
      </c>
      <c r="H215" t="s">
        <v>13</v>
      </c>
      <c r="I215" t="s">
        <v>20</v>
      </c>
      <c r="J215" t="s">
        <v>18</v>
      </c>
      <c r="L215" s="3">
        <f t="shared" si="23"/>
        <v>4.75</v>
      </c>
      <c r="M215" s="3">
        <f t="shared" si="18"/>
        <v>4.75</v>
      </c>
      <c r="N215" t="b">
        <f t="shared" si="19"/>
        <v>0</v>
      </c>
      <c r="O215">
        <f t="shared" si="20"/>
        <v>1</v>
      </c>
      <c r="P215" s="3">
        <f t="shared" si="21"/>
        <v>0</v>
      </c>
      <c r="Q215" t="str">
        <f t="shared" si="22"/>
        <v>Correct</v>
      </c>
    </row>
    <row r="216" spans="1:17" x14ac:dyDescent="0.3">
      <c r="A216" t="s">
        <v>239</v>
      </c>
      <c r="B216" s="2">
        <v>46241</v>
      </c>
      <c r="C216" s="3">
        <v>1.47</v>
      </c>
      <c r="D216" s="3">
        <v>1.38</v>
      </c>
      <c r="E216" s="3">
        <v>1.04</v>
      </c>
      <c r="F216" s="4">
        <v>0</v>
      </c>
      <c r="G216" s="5">
        <v>52055.34</v>
      </c>
      <c r="H216" t="s">
        <v>13</v>
      </c>
      <c r="I216" t="s">
        <v>14</v>
      </c>
      <c r="J216" t="s">
        <v>18</v>
      </c>
      <c r="L216" s="3">
        <f t="shared" si="23"/>
        <v>3.8899999999999997</v>
      </c>
      <c r="M216" s="3">
        <f t="shared" si="18"/>
        <v>3.8899999999999997</v>
      </c>
      <c r="N216" t="b">
        <f t="shared" si="19"/>
        <v>0</v>
      </c>
      <c r="O216">
        <f t="shared" si="20"/>
        <v>1</v>
      </c>
      <c r="P216" s="3">
        <f t="shared" si="21"/>
        <v>0</v>
      </c>
      <c r="Q216" t="str">
        <f t="shared" si="22"/>
        <v>Correct</v>
      </c>
    </row>
    <row r="217" spans="1:17" x14ac:dyDescent="0.3">
      <c r="A217" t="s">
        <v>240</v>
      </c>
      <c r="B217" s="2">
        <v>46258</v>
      </c>
      <c r="C217" s="3">
        <v>1.0900000000000001</v>
      </c>
      <c r="D217" s="3">
        <v>2.9</v>
      </c>
      <c r="E217" s="3">
        <v>1.6</v>
      </c>
      <c r="F217" s="4">
        <v>0</v>
      </c>
      <c r="G217" s="5">
        <v>14806.7</v>
      </c>
      <c r="H217" t="s">
        <v>24</v>
      </c>
      <c r="I217" t="s">
        <v>14</v>
      </c>
      <c r="J217" t="s">
        <v>18</v>
      </c>
      <c r="L217" s="3">
        <f t="shared" si="23"/>
        <v>5.59</v>
      </c>
      <c r="M217" s="3">
        <f t="shared" si="18"/>
        <v>5.59</v>
      </c>
      <c r="N217" t="b">
        <f t="shared" si="19"/>
        <v>0</v>
      </c>
      <c r="O217">
        <f t="shared" si="20"/>
        <v>1</v>
      </c>
      <c r="P217" s="3">
        <f t="shared" si="21"/>
        <v>0</v>
      </c>
      <c r="Q217" t="str">
        <f t="shared" si="22"/>
        <v>Correct</v>
      </c>
    </row>
    <row r="218" spans="1:17" x14ac:dyDescent="0.3">
      <c r="A218" t="s">
        <v>241</v>
      </c>
      <c r="B218" s="2">
        <v>46262</v>
      </c>
      <c r="C218" s="3">
        <v>7.06</v>
      </c>
      <c r="D218" s="3">
        <v>4.07</v>
      </c>
      <c r="E218" s="3">
        <v>1.59</v>
      </c>
      <c r="F218" s="4">
        <v>0</v>
      </c>
      <c r="G218" s="5">
        <v>3844.74</v>
      </c>
      <c r="H218" t="s">
        <v>24</v>
      </c>
      <c r="I218" t="s">
        <v>26</v>
      </c>
      <c r="J218" t="s">
        <v>18</v>
      </c>
      <c r="L218" s="3">
        <f t="shared" si="23"/>
        <v>12.719999999999999</v>
      </c>
      <c r="M218" s="3">
        <f t="shared" si="18"/>
        <v>12.719999999999999</v>
      </c>
      <c r="N218" t="b">
        <f t="shared" si="19"/>
        <v>0</v>
      </c>
      <c r="O218">
        <f t="shared" si="20"/>
        <v>1</v>
      </c>
      <c r="P218" s="3">
        <f t="shared" si="21"/>
        <v>0</v>
      </c>
      <c r="Q218" t="str">
        <f t="shared" si="22"/>
        <v>Correct</v>
      </c>
    </row>
    <row r="219" spans="1:17" x14ac:dyDescent="0.3">
      <c r="A219" t="s">
        <v>242</v>
      </c>
      <c r="B219" s="2">
        <v>46294</v>
      </c>
      <c r="C219" s="3">
        <v>0.25</v>
      </c>
      <c r="D219" s="3">
        <v>4.7</v>
      </c>
      <c r="E219" s="3">
        <v>2.63</v>
      </c>
      <c r="F219" s="4">
        <v>0</v>
      </c>
      <c r="G219" s="5">
        <v>7926.96</v>
      </c>
      <c r="H219" t="s">
        <v>24</v>
      </c>
      <c r="I219" t="s">
        <v>26</v>
      </c>
      <c r="J219" t="s">
        <v>21</v>
      </c>
      <c r="K219" t="s">
        <v>22</v>
      </c>
      <c r="L219" s="3">
        <f t="shared" si="23"/>
        <v>7.58</v>
      </c>
      <c r="M219" s="3">
        <f t="shared" si="18"/>
        <v>7.58</v>
      </c>
      <c r="N219" t="b">
        <f t="shared" si="19"/>
        <v>0</v>
      </c>
      <c r="O219">
        <f t="shared" si="20"/>
        <v>0</v>
      </c>
      <c r="P219" s="3">
        <f t="shared" si="21"/>
        <v>0</v>
      </c>
      <c r="Q219" t="str">
        <f t="shared" si="22"/>
        <v>Correct</v>
      </c>
    </row>
    <row r="220" spans="1:17" x14ac:dyDescent="0.3">
      <c r="A220" t="s">
        <v>243</v>
      </c>
      <c r="B220" s="2">
        <v>46252</v>
      </c>
      <c r="C220" s="3">
        <v>0.81</v>
      </c>
      <c r="D220" s="3">
        <v>6.37</v>
      </c>
      <c r="E220" s="3">
        <v>1.29</v>
      </c>
      <c r="F220" s="4">
        <v>0</v>
      </c>
      <c r="G220" s="5">
        <v>6156.4</v>
      </c>
      <c r="H220" t="s">
        <v>24</v>
      </c>
      <c r="I220" t="s">
        <v>20</v>
      </c>
      <c r="J220" t="s">
        <v>18</v>
      </c>
      <c r="L220" s="3">
        <f t="shared" si="23"/>
        <v>8.4699999999999989</v>
      </c>
      <c r="M220" s="3">
        <f t="shared" si="18"/>
        <v>8.4699999999999989</v>
      </c>
      <c r="N220" t="b">
        <f t="shared" si="19"/>
        <v>0</v>
      </c>
      <c r="O220">
        <f t="shared" si="20"/>
        <v>1</v>
      </c>
      <c r="P220" s="3">
        <f t="shared" si="21"/>
        <v>0</v>
      </c>
      <c r="Q220" t="str">
        <f t="shared" si="22"/>
        <v>Correct</v>
      </c>
    </row>
    <row r="221" spans="1:17" x14ac:dyDescent="0.3">
      <c r="A221" t="s">
        <v>244</v>
      </c>
      <c r="B221" s="2">
        <v>46246</v>
      </c>
      <c r="C221" s="3">
        <v>1.02</v>
      </c>
      <c r="D221" s="3">
        <v>11.15</v>
      </c>
      <c r="E221" s="3">
        <v>4.09</v>
      </c>
      <c r="F221" s="4">
        <v>1</v>
      </c>
      <c r="G221" s="5">
        <v>14772.1</v>
      </c>
      <c r="H221" t="s">
        <v>13</v>
      </c>
      <c r="I221" t="s">
        <v>17</v>
      </c>
      <c r="J221" t="s">
        <v>18</v>
      </c>
      <c r="L221" s="3">
        <f t="shared" si="23"/>
        <v>16.259999999999998</v>
      </c>
      <c r="M221" s="3">
        <f t="shared" si="18"/>
        <v>16.259999999999998</v>
      </c>
      <c r="N221" t="b">
        <f t="shared" si="19"/>
        <v>0</v>
      </c>
      <c r="O221">
        <f t="shared" si="20"/>
        <v>1</v>
      </c>
      <c r="P221" s="3">
        <f t="shared" si="21"/>
        <v>0</v>
      </c>
      <c r="Q221" t="str">
        <f t="shared" si="22"/>
        <v>Correct</v>
      </c>
    </row>
    <row r="222" spans="1:17" x14ac:dyDescent="0.3">
      <c r="A222" t="s">
        <v>245</v>
      </c>
      <c r="B222" s="2">
        <v>46291</v>
      </c>
      <c r="C222" s="3">
        <v>0.72</v>
      </c>
      <c r="D222" s="3">
        <v>20.43</v>
      </c>
      <c r="E222" s="3">
        <v>2.21</v>
      </c>
      <c r="F222" s="4">
        <v>0</v>
      </c>
      <c r="G222" s="5">
        <v>4710.01</v>
      </c>
      <c r="H222" t="s">
        <v>24</v>
      </c>
      <c r="I222" t="s">
        <v>17</v>
      </c>
      <c r="J222" t="s">
        <v>21</v>
      </c>
      <c r="K222" t="s">
        <v>22</v>
      </c>
      <c r="L222" s="3">
        <f t="shared" si="23"/>
        <v>23.36</v>
      </c>
      <c r="M222" s="3">
        <f t="shared" si="18"/>
        <v>23.36</v>
      </c>
      <c r="N222" t="b">
        <f t="shared" si="19"/>
        <v>0</v>
      </c>
      <c r="O222">
        <f t="shared" si="20"/>
        <v>0</v>
      </c>
      <c r="P222" s="3">
        <f t="shared" si="21"/>
        <v>0</v>
      </c>
      <c r="Q222" t="str">
        <f t="shared" si="22"/>
        <v>Correct</v>
      </c>
    </row>
    <row r="223" spans="1:17" x14ac:dyDescent="0.3">
      <c r="A223" t="s">
        <v>246</v>
      </c>
      <c r="B223" s="2">
        <v>46244</v>
      </c>
      <c r="C223" s="3">
        <v>2.3199999999999998</v>
      </c>
      <c r="D223" s="3">
        <v>6.49</v>
      </c>
      <c r="E223" s="3">
        <v>5.29</v>
      </c>
      <c r="F223" s="4">
        <v>0</v>
      </c>
      <c r="G223" s="5">
        <v>23916.55</v>
      </c>
      <c r="H223" t="s">
        <v>24</v>
      </c>
      <c r="I223" t="s">
        <v>17</v>
      </c>
      <c r="J223" t="s">
        <v>21</v>
      </c>
      <c r="K223" t="s">
        <v>29</v>
      </c>
      <c r="L223" s="3">
        <f t="shared" si="23"/>
        <v>14.100000000000001</v>
      </c>
      <c r="M223" s="3">
        <f t="shared" si="18"/>
        <v>14.100000000000001</v>
      </c>
      <c r="N223" t="b">
        <f t="shared" si="19"/>
        <v>0</v>
      </c>
      <c r="O223">
        <f t="shared" si="20"/>
        <v>0</v>
      </c>
      <c r="P223" s="3">
        <f t="shared" si="21"/>
        <v>0</v>
      </c>
      <c r="Q223" t="str">
        <f t="shared" si="22"/>
        <v>Correct</v>
      </c>
    </row>
    <row r="224" spans="1:17" x14ac:dyDescent="0.3">
      <c r="A224" t="s">
        <v>247</v>
      </c>
      <c r="B224" s="2">
        <v>46236</v>
      </c>
      <c r="C224" s="3">
        <v>0.92</v>
      </c>
      <c r="D224" s="3">
        <v>5.19</v>
      </c>
      <c r="E224" s="3">
        <v>1.84</v>
      </c>
      <c r="F224" s="4">
        <v>0</v>
      </c>
      <c r="G224" s="5">
        <v>9717.5400000000009</v>
      </c>
      <c r="H224" t="s">
        <v>24</v>
      </c>
      <c r="I224" t="s">
        <v>14</v>
      </c>
      <c r="J224" t="s">
        <v>18</v>
      </c>
      <c r="L224" s="3">
        <f t="shared" si="23"/>
        <v>7.95</v>
      </c>
      <c r="M224" s="3">
        <f t="shared" si="18"/>
        <v>7.95</v>
      </c>
      <c r="N224" t="b">
        <f t="shared" si="19"/>
        <v>0</v>
      </c>
      <c r="O224">
        <f t="shared" si="20"/>
        <v>1</v>
      </c>
      <c r="P224" s="3">
        <f t="shared" si="21"/>
        <v>0</v>
      </c>
      <c r="Q224" t="str">
        <f t="shared" si="22"/>
        <v>Correct</v>
      </c>
    </row>
    <row r="225" spans="1:17" x14ac:dyDescent="0.3">
      <c r="A225" t="s">
        <v>248</v>
      </c>
      <c r="B225" s="2">
        <v>46260</v>
      </c>
      <c r="C225" s="3">
        <v>0.42</v>
      </c>
      <c r="D225" s="3">
        <v>6.61</v>
      </c>
      <c r="E225" s="3">
        <v>2.5</v>
      </c>
      <c r="F225" s="4">
        <v>0</v>
      </c>
      <c r="G225" s="5">
        <v>7146.73</v>
      </c>
      <c r="H225" t="s">
        <v>13</v>
      </c>
      <c r="I225" t="s">
        <v>20</v>
      </c>
      <c r="J225" t="s">
        <v>18</v>
      </c>
      <c r="L225" s="3">
        <f t="shared" si="23"/>
        <v>9.5300000000000011</v>
      </c>
      <c r="M225" s="3">
        <f t="shared" si="18"/>
        <v>9.5300000000000011</v>
      </c>
      <c r="N225" t="b">
        <f t="shared" si="19"/>
        <v>0</v>
      </c>
      <c r="O225">
        <f t="shared" si="20"/>
        <v>1</v>
      </c>
      <c r="P225" s="3">
        <f t="shared" si="21"/>
        <v>0</v>
      </c>
      <c r="Q225" t="str">
        <f t="shared" si="22"/>
        <v>Correct</v>
      </c>
    </row>
    <row r="226" spans="1:17" x14ac:dyDescent="0.3">
      <c r="A226" t="s">
        <v>249</v>
      </c>
      <c r="B226" s="2">
        <v>46259</v>
      </c>
      <c r="C226" s="3">
        <v>1.82</v>
      </c>
      <c r="D226" s="3">
        <v>1.5</v>
      </c>
      <c r="E226" s="3">
        <v>4.42</v>
      </c>
      <c r="F226" s="4">
        <v>2</v>
      </c>
      <c r="G226" s="5">
        <v>6819.21</v>
      </c>
      <c r="H226" t="s">
        <v>24</v>
      </c>
      <c r="I226" t="s">
        <v>17</v>
      </c>
      <c r="J226" t="s">
        <v>21</v>
      </c>
      <c r="K226" t="s">
        <v>163</v>
      </c>
      <c r="L226" s="3">
        <f t="shared" si="23"/>
        <v>7.74</v>
      </c>
      <c r="M226" s="3">
        <f t="shared" si="18"/>
        <v>7.74</v>
      </c>
      <c r="N226" t="b">
        <f t="shared" si="19"/>
        <v>0</v>
      </c>
      <c r="O226">
        <f t="shared" si="20"/>
        <v>0</v>
      </c>
      <c r="P226" s="3">
        <f t="shared" si="21"/>
        <v>0</v>
      </c>
      <c r="Q226" t="str">
        <f t="shared" si="22"/>
        <v>Correct</v>
      </c>
    </row>
    <row r="227" spans="1:17" x14ac:dyDescent="0.3">
      <c r="A227" t="s">
        <v>250</v>
      </c>
      <c r="B227" s="2">
        <v>46272</v>
      </c>
      <c r="C227" s="3">
        <v>1.34</v>
      </c>
      <c r="D227" s="3">
        <v>1.53</v>
      </c>
      <c r="E227" s="3">
        <v>2.2400000000000002</v>
      </c>
      <c r="F227" s="4">
        <v>1</v>
      </c>
      <c r="G227" s="5">
        <v>6368.44</v>
      </c>
      <c r="H227" t="s">
        <v>24</v>
      </c>
      <c r="I227" t="s">
        <v>20</v>
      </c>
      <c r="J227" t="s">
        <v>18</v>
      </c>
      <c r="L227" s="3">
        <f t="shared" si="23"/>
        <v>5.1100000000000003</v>
      </c>
      <c r="M227" s="3">
        <f t="shared" si="18"/>
        <v>5.1100000000000003</v>
      </c>
      <c r="N227" t="b">
        <f t="shared" si="19"/>
        <v>0</v>
      </c>
      <c r="O227">
        <f t="shared" si="20"/>
        <v>1</v>
      </c>
      <c r="P227" s="3">
        <f t="shared" si="21"/>
        <v>0</v>
      </c>
      <c r="Q227" t="str">
        <f t="shared" si="22"/>
        <v>Correct</v>
      </c>
    </row>
    <row r="228" spans="1:17" x14ac:dyDescent="0.3">
      <c r="A228" t="s">
        <v>251</v>
      </c>
      <c r="B228" s="2">
        <v>46287</v>
      </c>
      <c r="C228" s="3">
        <v>0.96</v>
      </c>
      <c r="D228" s="3">
        <v>4.33</v>
      </c>
      <c r="E228" s="3">
        <v>1.99</v>
      </c>
      <c r="F228" s="4">
        <v>0</v>
      </c>
      <c r="G228" s="5">
        <v>4909.66</v>
      </c>
      <c r="H228" t="s">
        <v>24</v>
      </c>
      <c r="I228" t="s">
        <v>26</v>
      </c>
      <c r="J228" t="s">
        <v>18</v>
      </c>
      <c r="L228" s="3">
        <f t="shared" si="23"/>
        <v>7.28</v>
      </c>
      <c r="M228" s="3">
        <f t="shared" si="18"/>
        <v>7.28</v>
      </c>
      <c r="N228" t="b">
        <f t="shared" si="19"/>
        <v>0</v>
      </c>
      <c r="O228">
        <f t="shared" si="20"/>
        <v>1</v>
      </c>
      <c r="P228" s="3">
        <f t="shared" si="21"/>
        <v>0</v>
      </c>
      <c r="Q228" t="str">
        <f t="shared" si="22"/>
        <v>Correct</v>
      </c>
    </row>
    <row r="229" spans="1:17" x14ac:dyDescent="0.3">
      <c r="A229" t="s">
        <v>252</v>
      </c>
      <c r="B229" s="2">
        <v>46290</v>
      </c>
      <c r="C229" s="3">
        <v>4.29</v>
      </c>
      <c r="D229" s="3">
        <v>5.63</v>
      </c>
      <c r="E229" s="3">
        <v>1.47</v>
      </c>
      <c r="F229" s="4">
        <v>0</v>
      </c>
      <c r="G229" s="5">
        <v>10427.01</v>
      </c>
      <c r="H229" t="s">
        <v>24</v>
      </c>
      <c r="I229" t="s">
        <v>14</v>
      </c>
      <c r="J229" t="s">
        <v>18</v>
      </c>
      <c r="L229" s="3">
        <f t="shared" si="23"/>
        <v>11.39</v>
      </c>
      <c r="M229" s="3">
        <f t="shared" si="18"/>
        <v>11.39</v>
      </c>
      <c r="N229" t="b">
        <f t="shared" si="19"/>
        <v>0</v>
      </c>
      <c r="O229">
        <f t="shared" si="20"/>
        <v>1</v>
      </c>
      <c r="P229" s="3">
        <f t="shared" si="21"/>
        <v>0</v>
      </c>
      <c r="Q229" t="str">
        <f t="shared" si="22"/>
        <v>Correct</v>
      </c>
    </row>
    <row r="230" spans="1:17" x14ac:dyDescent="0.3">
      <c r="A230" t="s">
        <v>253</v>
      </c>
      <c r="B230" s="2">
        <v>46252</v>
      </c>
      <c r="C230" s="3">
        <v>2.37</v>
      </c>
      <c r="D230" s="3">
        <v>0.57999999999999996</v>
      </c>
      <c r="E230" s="3">
        <v>4.95</v>
      </c>
      <c r="F230" s="4">
        <v>0</v>
      </c>
      <c r="G230" s="5">
        <v>5037.41</v>
      </c>
      <c r="H230" t="s">
        <v>24</v>
      </c>
      <c r="I230" t="s">
        <v>14</v>
      </c>
      <c r="J230" t="s">
        <v>18</v>
      </c>
      <c r="L230" s="3">
        <f t="shared" si="23"/>
        <v>7.9</v>
      </c>
      <c r="M230" s="3">
        <f t="shared" si="18"/>
        <v>7.9</v>
      </c>
      <c r="N230" t="b">
        <f t="shared" si="19"/>
        <v>0</v>
      </c>
      <c r="O230">
        <f t="shared" si="20"/>
        <v>1</v>
      </c>
      <c r="P230" s="3">
        <f t="shared" si="21"/>
        <v>0</v>
      </c>
      <c r="Q230" t="str">
        <f t="shared" si="22"/>
        <v>Correct</v>
      </c>
    </row>
    <row r="231" spans="1:17" x14ac:dyDescent="0.3">
      <c r="A231" t="s">
        <v>254</v>
      </c>
      <c r="B231" s="2">
        <v>46293</v>
      </c>
      <c r="C231" s="3">
        <v>2.1800000000000002</v>
      </c>
      <c r="D231" s="3">
        <v>12.75</v>
      </c>
      <c r="E231" s="3">
        <v>4.67</v>
      </c>
      <c r="F231" s="4">
        <v>0</v>
      </c>
      <c r="G231" s="5">
        <v>2983.34</v>
      </c>
      <c r="H231" t="s">
        <v>24</v>
      </c>
      <c r="I231" t="s">
        <v>26</v>
      </c>
      <c r="J231" t="s">
        <v>18</v>
      </c>
      <c r="L231" s="3">
        <f t="shared" si="23"/>
        <v>19.600000000000001</v>
      </c>
      <c r="M231" s="3">
        <f t="shared" si="18"/>
        <v>19.600000000000001</v>
      </c>
      <c r="N231" t="b">
        <f t="shared" si="19"/>
        <v>0</v>
      </c>
      <c r="O231">
        <f t="shared" si="20"/>
        <v>1</v>
      </c>
      <c r="P231" s="3">
        <f t="shared" si="21"/>
        <v>0</v>
      </c>
      <c r="Q231" t="str">
        <f t="shared" si="22"/>
        <v>Correct</v>
      </c>
    </row>
    <row r="232" spans="1:17" x14ac:dyDescent="0.3">
      <c r="A232" t="s">
        <v>255</v>
      </c>
      <c r="B232" s="2">
        <v>46272</v>
      </c>
      <c r="C232" s="3">
        <v>2.41</v>
      </c>
      <c r="D232" s="3">
        <v>5.95</v>
      </c>
      <c r="E232" s="3">
        <v>2.4300000000000002</v>
      </c>
      <c r="F232" s="4">
        <v>1</v>
      </c>
      <c r="G232" s="5">
        <v>8031.91</v>
      </c>
      <c r="H232" t="s">
        <v>24</v>
      </c>
      <c r="I232" t="s">
        <v>26</v>
      </c>
      <c r="J232" t="s">
        <v>18</v>
      </c>
      <c r="L232" s="3">
        <f t="shared" si="23"/>
        <v>10.79</v>
      </c>
      <c r="M232" s="3">
        <f t="shared" si="18"/>
        <v>10.79</v>
      </c>
      <c r="N232" t="b">
        <f t="shared" si="19"/>
        <v>0</v>
      </c>
      <c r="O232">
        <f t="shared" si="20"/>
        <v>1</v>
      </c>
      <c r="P232" s="3">
        <f t="shared" si="21"/>
        <v>0</v>
      </c>
      <c r="Q232" t="str">
        <f t="shared" si="22"/>
        <v>Correct</v>
      </c>
    </row>
    <row r="233" spans="1:17" x14ac:dyDescent="0.3">
      <c r="A233" t="s">
        <v>256</v>
      </c>
      <c r="B233" s="2">
        <v>46239</v>
      </c>
      <c r="C233" s="3">
        <v>2.3199999999999998</v>
      </c>
      <c r="D233" s="3">
        <v>6.85</v>
      </c>
      <c r="E233" s="3">
        <v>4.55</v>
      </c>
      <c r="F233" s="4">
        <v>1</v>
      </c>
      <c r="G233" s="5">
        <v>3671.77</v>
      </c>
      <c r="H233" t="s">
        <v>24</v>
      </c>
      <c r="I233" t="s">
        <v>17</v>
      </c>
      <c r="J233" t="s">
        <v>18</v>
      </c>
      <c r="L233" s="3">
        <f t="shared" si="23"/>
        <v>13.719999999999999</v>
      </c>
      <c r="M233" s="3">
        <f t="shared" si="18"/>
        <v>13.719999999999999</v>
      </c>
      <c r="N233" t="b">
        <f t="shared" si="19"/>
        <v>0</v>
      </c>
      <c r="O233">
        <f t="shared" si="20"/>
        <v>1</v>
      </c>
      <c r="P233" s="3">
        <f t="shared" si="21"/>
        <v>0</v>
      </c>
      <c r="Q233" t="str">
        <f t="shared" si="22"/>
        <v>Correct</v>
      </c>
    </row>
    <row r="234" spans="1:17" x14ac:dyDescent="0.3">
      <c r="A234" t="s">
        <v>257</v>
      </c>
      <c r="B234" s="2">
        <v>46291</v>
      </c>
      <c r="C234" s="3">
        <v>1.4</v>
      </c>
      <c r="D234" s="3">
        <v>5.76</v>
      </c>
      <c r="E234" s="3">
        <v>5.49</v>
      </c>
      <c r="F234" s="4">
        <v>1</v>
      </c>
      <c r="G234" s="5">
        <v>6544.05</v>
      </c>
      <c r="H234" t="s">
        <v>24</v>
      </c>
      <c r="I234" t="s">
        <v>20</v>
      </c>
      <c r="J234" t="s">
        <v>18</v>
      </c>
      <c r="L234" s="3">
        <f t="shared" si="23"/>
        <v>12.65</v>
      </c>
      <c r="M234" s="3">
        <f t="shared" si="18"/>
        <v>12.65</v>
      </c>
      <c r="N234" t="b">
        <f t="shared" si="19"/>
        <v>0</v>
      </c>
      <c r="O234">
        <f t="shared" si="20"/>
        <v>1</v>
      </c>
      <c r="P234" s="3">
        <f t="shared" si="21"/>
        <v>0</v>
      </c>
      <c r="Q234" t="str">
        <f t="shared" si="22"/>
        <v>Correct</v>
      </c>
    </row>
    <row r="235" spans="1:17" x14ac:dyDescent="0.3">
      <c r="A235" t="s">
        <v>258</v>
      </c>
      <c r="B235" s="2">
        <v>46243</v>
      </c>
      <c r="C235" s="3">
        <v>0.93</v>
      </c>
      <c r="D235" s="3">
        <v>2.77</v>
      </c>
      <c r="E235" s="3">
        <v>5.62</v>
      </c>
      <c r="F235" s="4">
        <v>1</v>
      </c>
      <c r="G235" s="5">
        <v>6002.87</v>
      </c>
      <c r="H235" t="s">
        <v>24</v>
      </c>
      <c r="I235" t="s">
        <v>14</v>
      </c>
      <c r="J235" t="s">
        <v>18</v>
      </c>
      <c r="L235" s="3">
        <f t="shared" si="23"/>
        <v>9.32</v>
      </c>
      <c r="M235" s="3">
        <f t="shared" si="18"/>
        <v>9.32</v>
      </c>
      <c r="N235" t="b">
        <f t="shared" si="19"/>
        <v>0</v>
      </c>
      <c r="O235">
        <f t="shared" si="20"/>
        <v>1</v>
      </c>
      <c r="P235" s="3">
        <f t="shared" si="21"/>
        <v>0</v>
      </c>
      <c r="Q235" t="str">
        <f t="shared" si="22"/>
        <v>Correct</v>
      </c>
    </row>
    <row r="236" spans="1:17" x14ac:dyDescent="0.3">
      <c r="A236" t="s">
        <v>259</v>
      </c>
      <c r="B236" s="2">
        <v>46270</v>
      </c>
      <c r="C236" s="3">
        <v>1.86</v>
      </c>
      <c r="D236" s="3">
        <v>4.74</v>
      </c>
      <c r="E236" s="3">
        <v>3.54</v>
      </c>
      <c r="F236" s="4">
        <v>0</v>
      </c>
      <c r="G236" s="5">
        <v>6129.27</v>
      </c>
      <c r="H236" t="s">
        <v>24</v>
      </c>
      <c r="I236" t="s">
        <v>20</v>
      </c>
      <c r="J236" t="s">
        <v>18</v>
      </c>
      <c r="L236" s="3">
        <f t="shared" si="23"/>
        <v>10.14</v>
      </c>
      <c r="M236" s="3">
        <f t="shared" si="18"/>
        <v>10.14</v>
      </c>
      <c r="N236" t="b">
        <f t="shared" si="19"/>
        <v>0</v>
      </c>
      <c r="O236">
        <f t="shared" si="20"/>
        <v>1</v>
      </c>
      <c r="P236" s="3">
        <f t="shared" si="21"/>
        <v>0</v>
      </c>
      <c r="Q236" t="str">
        <f t="shared" si="22"/>
        <v>Correct</v>
      </c>
    </row>
    <row r="237" spans="1:17" x14ac:dyDescent="0.3">
      <c r="A237" t="s">
        <v>260</v>
      </c>
      <c r="B237" s="2">
        <v>46282</v>
      </c>
      <c r="C237" s="3">
        <v>1.38</v>
      </c>
      <c r="D237" s="3">
        <v>7.13</v>
      </c>
      <c r="E237" s="3">
        <v>1.1599999999999999</v>
      </c>
      <c r="F237" s="4">
        <v>0</v>
      </c>
      <c r="G237" s="5">
        <v>26205.61</v>
      </c>
      <c r="H237" t="s">
        <v>13</v>
      </c>
      <c r="I237" t="s">
        <v>20</v>
      </c>
      <c r="J237" t="s">
        <v>21</v>
      </c>
      <c r="K237" t="s">
        <v>163</v>
      </c>
      <c r="L237" s="3">
        <f t="shared" si="23"/>
        <v>9.67</v>
      </c>
      <c r="M237" s="3">
        <f t="shared" si="18"/>
        <v>9.67</v>
      </c>
      <c r="N237" t="b">
        <f t="shared" si="19"/>
        <v>0</v>
      </c>
      <c r="O237">
        <f t="shared" si="20"/>
        <v>0</v>
      </c>
      <c r="P237" s="3">
        <f t="shared" si="21"/>
        <v>0</v>
      </c>
      <c r="Q237" t="str">
        <f t="shared" si="22"/>
        <v>Correct</v>
      </c>
    </row>
    <row r="238" spans="1:17" x14ac:dyDescent="0.3">
      <c r="A238" t="s">
        <v>261</v>
      </c>
      <c r="B238" s="2">
        <v>46249</v>
      </c>
      <c r="C238" s="3">
        <v>0.25</v>
      </c>
      <c r="D238" s="3">
        <v>15.2</v>
      </c>
      <c r="E238" s="3">
        <v>8.65</v>
      </c>
      <c r="F238" s="4">
        <v>1</v>
      </c>
      <c r="G238" s="5">
        <v>10209.01</v>
      </c>
      <c r="H238" t="s">
        <v>24</v>
      </c>
      <c r="I238" t="s">
        <v>17</v>
      </c>
      <c r="J238" t="s">
        <v>18</v>
      </c>
      <c r="L238" s="3">
        <f t="shared" si="23"/>
        <v>24.1</v>
      </c>
      <c r="M238" s="3">
        <f t="shared" si="18"/>
        <v>24.1</v>
      </c>
      <c r="N238" t="b">
        <f t="shared" si="19"/>
        <v>0</v>
      </c>
      <c r="O238">
        <f t="shared" si="20"/>
        <v>1</v>
      </c>
      <c r="P238" s="3">
        <f t="shared" si="21"/>
        <v>0</v>
      </c>
      <c r="Q238" t="str">
        <f t="shared" si="22"/>
        <v>Correct</v>
      </c>
    </row>
    <row r="239" spans="1:17" x14ac:dyDescent="0.3">
      <c r="A239" t="s">
        <v>262</v>
      </c>
      <c r="B239" s="2">
        <v>46251</v>
      </c>
      <c r="C239" s="3">
        <v>0.66</v>
      </c>
      <c r="D239" s="3">
        <v>3.68</v>
      </c>
      <c r="E239" s="3">
        <v>1.58</v>
      </c>
      <c r="F239" s="4">
        <v>0</v>
      </c>
      <c r="G239" s="5">
        <v>11327.11</v>
      </c>
      <c r="H239" t="s">
        <v>24</v>
      </c>
      <c r="I239" t="s">
        <v>20</v>
      </c>
      <c r="J239" t="s">
        <v>18</v>
      </c>
      <c r="L239" s="3">
        <f t="shared" si="23"/>
        <v>5.92</v>
      </c>
      <c r="M239" s="3">
        <f t="shared" si="18"/>
        <v>5.92</v>
      </c>
      <c r="N239" t="b">
        <f t="shared" si="19"/>
        <v>0</v>
      </c>
      <c r="O239">
        <f t="shared" si="20"/>
        <v>1</v>
      </c>
      <c r="P239" s="3">
        <f t="shared" si="21"/>
        <v>0</v>
      </c>
      <c r="Q239" t="str">
        <f t="shared" si="22"/>
        <v>Correct</v>
      </c>
    </row>
    <row r="240" spans="1:17" x14ac:dyDescent="0.3">
      <c r="A240" t="s">
        <v>263</v>
      </c>
      <c r="B240" s="2">
        <v>46263</v>
      </c>
      <c r="C240" s="3">
        <v>1.24</v>
      </c>
      <c r="D240" s="3">
        <v>1.22</v>
      </c>
      <c r="E240" s="3">
        <v>2.25</v>
      </c>
      <c r="F240" s="4">
        <v>1</v>
      </c>
      <c r="G240" s="5">
        <v>3725.59</v>
      </c>
      <c r="H240" t="s">
        <v>24</v>
      </c>
      <c r="I240" t="s">
        <v>26</v>
      </c>
      <c r="J240" t="s">
        <v>18</v>
      </c>
      <c r="L240" s="3">
        <f t="shared" si="23"/>
        <v>4.71</v>
      </c>
      <c r="M240" s="3">
        <f t="shared" si="18"/>
        <v>4.71</v>
      </c>
      <c r="N240" t="b">
        <f t="shared" si="19"/>
        <v>0</v>
      </c>
      <c r="O240">
        <f t="shared" si="20"/>
        <v>1</v>
      </c>
      <c r="P240" s="3">
        <f t="shared" si="21"/>
        <v>0</v>
      </c>
      <c r="Q240" t="str">
        <f t="shared" si="22"/>
        <v>Correct</v>
      </c>
    </row>
    <row r="241" spans="1:17" x14ac:dyDescent="0.3">
      <c r="A241" t="s">
        <v>264</v>
      </c>
      <c r="B241" s="2">
        <v>46288</v>
      </c>
      <c r="C241" s="3">
        <v>3.23</v>
      </c>
      <c r="D241" s="3">
        <v>2.06</v>
      </c>
      <c r="E241" s="3">
        <v>2.2000000000000002</v>
      </c>
      <c r="F241" s="4">
        <v>1</v>
      </c>
      <c r="G241" s="5">
        <v>6907.2</v>
      </c>
      <c r="H241" t="s">
        <v>24</v>
      </c>
      <c r="I241" t="s">
        <v>26</v>
      </c>
      <c r="J241" t="s">
        <v>18</v>
      </c>
      <c r="L241" s="3">
        <f t="shared" si="23"/>
        <v>7.49</v>
      </c>
      <c r="M241" s="3">
        <f t="shared" si="18"/>
        <v>7.49</v>
      </c>
      <c r="N241" t="b">
        <f t="shared" si="19"/>
        <v>0</v>
      </c>
      <c r="O241">
        <f t="shared" si="20"/>
        <v>1</v>
      </c>
      <c r="P241" s="3">
        <f t="shared" si="21"/>
        <v>0</v>
      </c>
      <c r="Q241" t="str">
        <f t="shared" si="22"/>
        <v>Correct</v>
      </c>
    </row>
    <row r="242" spans="1:17" x14ac:dyDescent="0.3">
      <c r="A242" t="s">
        <v>265</v>
      </c>
      <c r="B242" s="2">
        <v>46248</v>
      </c>
      <c r="C242" s="3">
        <v>1.86</v>
      </c>
      <c r="D242" s="3">
        <v>3.46</v>
      </c>
      <c r="E242" s="3">
        <v>2.2799999999999998</v>
      </c>
      <c r="F242" s="4">
        <v>0</v>
      </c>
      <c r="G242" s="5">
        <v>11141.32</v>
      </c>
      <c r="H242" t="s">
        <v>24</v>
      </c>
      <c r="I242" t="s">
        <v>20</v>
      </c>
      <c r="J242" t="s">
        <v>18</v>
      </c>
      <c r="L242" s="3">
        <f t="shared" si="23"/>
        <v>7.6</v>
      </c>
      <c r="M242" s="3">
        <f t="shared" si="18"/>
        <v>7.6</v>
      </c>
      <c r="N242" t="b">
        <f t="shared" si="19"/>
        <v>0</v>
      </c>
      <c r="O242">
        <f t="shared" si="20"/>
        <v>1</v>
      </c>
      <c r="P242" s="3">
        <f t="shared" si="21"/>
        <v>0</v>
      </c>
      <c r="Q242" t="str">
        <f t="shared" si="22"/>
        <v>Correct</v>
      </c>
    </row>
    <row r="243" spans="1:17" x14ac:dyDescent="0.3">
      <c r="A243" t="s">
        <v>266</v>
      </c>
      <c r="B243" s="2">
        <v>46274</v>
      </c>
      <c r="C243" s="3">
        <v>0.78</v>
      </c>
      <c r="D243" s="3">
        <v>1.35</v>
      </c>
      <c r="E243" s="3">
        <v>5.67</v>
      </c>
      <c r="F243" s="4">
        <v>0</v>
      </c>
      <c r="G243" s="5">
        <v>5633.63</v>
      </c>
      <c r="H243" t="s">
        <v>24</v>
      </c>
      <c r="I243" t="s">
        <v>20</v>
      </c>
      <c r="J243" t="s">
        <v>18</v>
      </c>
      <c r="L243" s="3">
        <f t="shared" si="23"/>
        <v>7.8</v>
      </c>
      <c r="M243" s="3">
        <f t="shared" si="18"/>
        <v>7.8</v>
      </c>
      <c r="N243" t="b">
        <f t="shared" si="19"/>
        <v>0</v>
      </c>
      <c r="O243">
        <f t="shared" si="20"/>
        <v>1</v>
      </c>
      <c r="P243" s="3">
        <f t="shared" si="21"/>
        <v>0</v>
      </c>
      <c r="Q243" t="str">
        <f t="shared" si="22"/>
        <v>Correct</v>
      </c>
    </row>
    <row r="244" spans="1:17" x14ac:dyDescent="0.3">
      <c r="A244" t="s">
        <v>267</v>
      </c>
      <c r="B244" s="2">
        <v>46262</v>
      </c>
      <c r="C244" s="3">
        <v>0.6</v>
      </c>
      <c r="D244" s="3">
        <v>2.54</v>
      </c>
      <c r="E244" s="3">
        <v>4.38</v>
      </c>
      <c r="F244" s="4">
        <v>1</v>
      </c>
      <c r="G244" s="5">
        <v>128640.12</v>
      </c>
      <c r="H244" t="s">
        <v>13</v>
      </c>
      <c r="I244" t="s">
        <v>26</v>
      </c>
      <c r="J244" t="s">
        <v>18</v>
      </c>
      <c r="L244" s="3">
        <f t="shared" si="23"/>
        <v>7.52</v>
      </c>
      <c r="M244" s="3">
        <f t="shared" si="18"/>
        <v>7.52</v>
      </c>
      <c r="N244" t="b">
        <f t="shared" si="19"/>
        <v>0</v>
      </c>
      <c r="O244">
        <f t="shared" si="20"/>
        <v>1</v>
      </c>
      <c r="P244" s="3">
        <f t="shared" si="21"/>
        <v>0</v>
      </c>
      <c r="Q244" t="str">
        <f t="shared" si="22"/>
        <v>Correct</v>
      </c>
    </row>
    <row r="245" spans="1:17" x14ac:dyDescent="0.3">
      <c r="A245" t="s">
        <v>268</v>
      </c>
      <c r="B245" s="2">
        <v>46241</v>
      </c>
      <c r="C245" s="3">
        <v>3.71</v>
      </c>
      <c r="D245" s="3">
        <v>3.43</v>
      </c>
      <c r="E245" s="3">
        <v>2.42</v>
      </c>
      <c r="F245" s="4">
        <v>0</v>
      </c>
      <c r="G245" s="5">
        <v>5107.76</v>
      </c>
      <c r="H245" t="s">
        <v>24</v>
      </c>
      <c r="I245" t="s">
        <v>17</v>
      </c>
      <c r="J245" t="s">
        <v>18</v>
      </c>
      <c r="L245" s="3">
        <f t="shared" si="23"/>
        <v>9.56</v>
      </c>
      <c r="M245" s="3">
        <f t="shared" si="18"/>
        <v>9.56</v>
      </c>
      <c r="N245" t="b">
        <f t="shared" si="19"/>
        <v>0</v>
      </c>
      <c r="O245">
        <f t="shared" si="20"/>
        <v>1</v>
      </c>
      <c r="P245" s="3">
        <f t="shared" si="21"/>
        <v>0</v>
      </c>
      <c r="Q245" t="str">
        <f t="shared" si="22"/>
        <v>Correct</v>
      </c>
    </row>
    <row r="246" spans="1:17" x14ac:dyDescent="0.3">
      <c r="A246" t="s">
        <v>269</v>
      </c>
      <c r="B246" s="2">
        <v>46277</v>
      </c>
      <c r="C246" s="3">
        <v>1.45</v>
      </c>
      <c r="D246" s="3">
        <v>3.29</v>
      </c>
      <c r="E246" s="3">
        <v>6.62</v>
      </c>
      <c r="F246" s="4">
        <v>1</v>
      </c>
      <c r="G246" s="5">
        <v>8454.8799999999992</v>
      </c>
      <c r="H246" t="s">
        <v>24</v>
      </c>
      <c r="I246" t="s">
        <v>14</v>
      </c>
      <c r="J246" t="s">
        <v>18</v>
      </c>
      <c r="L246" s="3">
        <f t="shared" si="23"/>
        <v>11.36</v>
      </c>
      <c r="M246" s="3">
        <f t="shared" si="18"/>
        <v>11.36</v>
      </c>
      <c r="N246" t="b">
        <f t="shared" si="19"/>
        <v>0</v>
      </c>
      <c r="O246">
        <f t="shared" si="20"/>
        <v>1</v>
      </c>
      <c r="P246" s="3">
        <f t="shared" si="21"/>
        <v>0</v>
      </c>
      <c r="Q246" t="str">
        <f t="shared" si="22"/>
        <v>Correct</v>
      </c>
    </row>
    <row r="247" spans="1:17" x14ac:dyDescent="0.3">
      <c r="A247" t="s">
        <v>270</v>
      </c>
      <c r="B247" s="2">
        <v>46284</v>
      </c>
      <c r="C247" s="3">
        <v>0.25</v>
      </c>
      <c r="D247" s="3">
        <v>5.89</v>
      </c>
      <c r="E247" s="3">
        <v>5.57</v>
      </c>
      <c r="F247" s="4">
        <v>0</v>
      </c>
      <c r="G247" s="5">
        <v>7170.08</v>
      </c>
      <c r="H247" t="s">
        <v>24</v>
      </c>
      <c r="I247" t="s">
        <v>20</v>
      </c>
      <c r="J247" t="s">
        <v>15</v>
      </c>
      <c r="L247" s="3">
        <f t="shared" si="23"/>
        <v>11.71</v>
      </c>
      <c r="M247" s="3">
        <f t="shared" si="18"/>
        <v>11.71</v>
      </c>
      <c r="N247" t="b">
        <f t="shared" si="19"/>
        <v>0</v>
      </c>
      <c r="O247">
        <f t="shared" si="20"/>
        <v>1</v>
      </c>
      <c r="P247" s="3">
        <f t="shared" si="21"/>
        <v>0</v>
      </c>
      <c r="Q247" t="str">
        <f t="shared" si="22"/>
        <v>Correct</v>
      </c>
    </row>
    <row r="248" spans="1:17" x14ac:dyDescent="0.3">
      <c r="A248" t="s">
        <v>271</v>
      </c>
      <c r="B248" s="2">
        <v>46269</v>
      </c>
      <c r="C248" s="3">
        <v>1.52</v>
      </c>
      <c r="D248" s="3">
        <v>3.17</v>
      </c>
      <c r="E248" s="3">
        <v>7.15</v>
      </c>
      <c r="F248" s="4">
        <v>3</v>
      </c>
      <c r="G248" s="5">
        <v>10833.26</v>
      </c>
      <c r="H248" t="s">
        <v>24</v>
      </c>
      <c r="I248" t="s">
        <v>14</v>
      </c>
      <c r="J248" t="s">
        <v>18</v>
      </c>
      <c r="L248" s="3">
        <f t="shared" si="23"/>
        <v>11.84</v>
      </c>
      <c r="M248" s="3">
        <f t="shared" si="18"/>
        <v>11.84</v>
      </c>
      <c r="N248" t="b">
        <f t="shared" si="19"/>
        <v>0</v>
      </c>
      <c r="O248">
        <f t="shared" si="20"/>
        <v>1</v>
      </c>
      <c r="P248" s="3">
        <f t="shared" si="21"/>
        <v>0</v>
      </c>
      <c r="Q248" t="str">
        <f t="shared" si="22"/>
        <v>Correct</v>
      </c>
    </row>
    <row r="249" spans="1:17" x14ac:dyDescent="0.3">
      <c r="A249" t="s">
        <v>272</v>
      </c>
      <c r="B249" s="2">
        <v>46245</v>
      </c>
      <c r="C249" s="3">
        <v>2.76</v>
      </c>
      <c r="D249" s="3">
        <v>10.18</v>
      </c>
      <c r="E249" s="3">
        <v>0.4</v>
      </c>
      <c r="F249" s="4">
        <v>0</v>
      </c>
      <c r="G249" s="5">
        <v>6958.58</v>
      </c>
      <c r="H249" t="s">
        <v>24</v>
      </c>
      <c r="I249" t="s">
        <v>17</v>
      </c>
      <c r="J249" t="s">
        <v>18</v>
      </c>
      <c r="L249" s="3">
        <f t="shared" si="23"/>
        <v>13.34</v>
      </c>
      <c r="M249" s="3">
        <f t="shared" si="18"/>
        <v>13.34</v>
      </c>
      <c r="N249" t="b">
        <f t="shared" si="19"/>
        <v>0</v>
      </c>
      <c r="O249">
        <f t="shared" si="20"/>
        <v>1</v>
      </c>
      <c r="P249" s="3">
        <f t="shared" si="21"/>
        <v>0</v>
      </c>
      <c r="Q249" t="str">
        <f t="shared" si="22"/>
        <v>Correct</v>
      </c>
    </row>
    <row r="250" spans="1:17" x14ac:dyDescent="0.3">
      <c r="A250" t="s">
        <v>273</v>
      </c>
      <c r="B250" s="2">
        <v>46244</v>
      </c>
      <c r="C250" s="3">
        <v>0.59</v>
      </c>
      <c r="D250" s="3">
        <v>9.26</v>
      </c>
      <c r="E250" s="3">
        <v>4.46</v>
      </c>
      <c r="F250" s="4">
        <v>0</v>
      </c>
      <c r="G250" s="5">
        <v>22707.09</v>
      </c>
      <c r="H250" t="s">
        <v>13</v>
      </c>
      <c r="I250" t="s">
        <v>17</v>
      </c>
      <c r="J250" t="s">
        <v>18</v>
      </c>
      <c r="L250" s="3">
        <f t="shared" si="23"/>
        <v>14.309999999999999</v>
      </c>
      <c r="M250" s="3">
        <f t="shared" si="18"/>
        <v>14.309999999999999</v>
      </c>
      <c r="N250" t="b">
        <f t="shared" si="19"/>
        <v>0</v>
      </c>
      <c r="O250">
        <f t="shared" si="20"/>
        <v>1</v>
      </c>
      <c r="P250" s="3">
        <f t="shared" si="21"/>
        <v>0</v>
      </c>
      <c r="Q250" t="str">
        <f t="shared" si="22"/>
        <v>Correct</v>
      </c>
    </row>
    <row r="251" spans="1:17" x14ac:dyDescent="0.3">
      <c r="A251" t="s">
        <v>274</v>
      </c>
      <c r="B251" s="2">
        <v>46260</v>
      </c>
      <c r="C251" s="3">
        <v>1.76</v>
      </c>
      <c r="D251" s="3">
        <v>4.3099999999999996</v>
      </c>
      <c r="E251" s="3">
        <v>4.16</v>
      </c>
      <c r="F251" s="4">
        <v>2</v>
      </c>
      <c r="G251" s="5">
        <v>46762.57</v>
      </c>
      <c r="H251" t="s">
        <v>13</v>
      </c>
      <c r="I251" t="s">
        <v>17</v>
      </c>
      <c r="J251" t="s">
        <v>21</v>
      </c>
      <c r="K251" t="s">
        <v>22</v>
      </c>
      <c r="L251" s="3">
        <f t="shared" si="23"/>
        <v>10.23</v>
      </c>
      <c r="M251" s="3">
        <f t="shared" si="18"/>
        <v>10.23</v>
      </c>
      <c r="N251" t="b">
        <f t="shared" si="19"/>
        <v>0</v>
      </c>
      <c r="O251">
        <f t="shared" si="20"/>
        <v>0</v>
      </c>
      <c r="P251" s="3">
        <f t="shared" si="21"/>
        <v>0</v>
      </c>
      <c r="Q251" t="str">
        <f t="shared" si="22"/>
        <v>Correct</v>
      </c>
    </row>
    <row r="252" spans="1:17" x14ac:dyDescent="0.3">
      <c r="A252" t="s">
        <v>275</v>
      </c>
      <c r="B252" s="2">
        <v>46265</v>
      </c>
      <c r="C252" s="3">
        <v>1.88</v>
      </c>
      <c r="D252" s="3">
        <v>5.34</v>
      </c>
      <c r="E252" s="3">
        <v>1.32</v>
      </c>
      <c r="F252" s="4">
        <v>0</v>
      </c>
      <c r="G252" s="5">
        <v>6608.33</v>
      </c>
      <c r="H252" t="s">
        <v>24</v>
      </c>
      <c r="I252" t="s">
        <v>14</v>
      </c>
      <c r="J252" t="s">
        <v>18</v>
      </c>
      <c r="L252" s="3">
        <f t="shared" si="23"/>
        <v>8.5399999999999991</v>
      </c>
      <c r="M252" s="3">
        <f t="shared" si="18"/>
        <v>8.5399999999999991</v>
      </c>
      <c r="N252" t="b">
        <f t="shared" si="19"/>
        <v>0</v>
      </c>
      <c r="O252">
        <f t="shared" si="20"/>
        <v>1</v>
      </c>
      <c r="P252" s="3">
        <f t="shared" si="21"/>
        <v>0</v>
      </c>
      <c r="Q252" t="str">
        <f t="shared" si="22"/>
        <v>Correct</v>
      </c>
    </row>
    <row r="253" spans="1:17" x14ac:dyDescent="0.3">
      <c r="A253" t="s">
        <v>276</v>
      </c>
      <c r="B253" s="2">
        <v>46268</v>
      </c>
      <c r="C253" s="3">
        <v>0.62</v>
      </c>
      <c r="D253" s="3">
        <v>4.78</v>
      </c>
      <c r="E253" s="3">
        <v>4.74</v>
      </c>
      <c r="F253" s="4">
        <v>2</v>
      </c>
      <c r="G253" s="5">
        <v>12923.49</v>
      </c>
      <c r="H253" t="s">
        <v>24</v>
      </c>
      <c r="I253" t="s">
        <v>20</v>
      </c>
      <c r="J253" t="s">
        <v>15</v>
      </c>
      <c r="L253" s="3">
        <f t="shared" si="23"/>
        <v>10.14</v>
      </c>
      <c r="M253" s="3">
        <f t="shared" si="18"/>
        <v>10.14</v>
      </c>
      <c r="N253" t="b">
        <f t="shared" si="19"/>
        <v>0</v>
      </c>
      <c r="O253">
        <f t="shared" si="20"/>
        <v>1</v>
      </c>
      <c r="P253" s="3">
        <f t="shared" si="21"/>
        <v>0</v>
      </c>
      <c r="Q253" t="str">
        <f t="shared" si="22"/>
        <v>Correct</v>
      </c>
    </row>
    <row r="254" spans="1:17" x14ac:dyDescent="0.3">
      <c r="A254" t="s">
        <v>277</v>
      </c>
      <c r="B254" s="2">
        <v>46249</v>
      </c>
      <c r="C254" s="3">
        <v>3.95</v>
      </c>
      <c r="D254" s="3">
        <v>10.36</v>
      </c>
      <c r="E254" s="3">
        <v>7.35</v>
      </c>
      <c r="F254" s="4">
        <v>1</v>
      </c>
      <c r="G254" s="5">
        <v>11283.69</v>
      </c>
      <c r="H254" t="s">
        <v>24</v>
      </c>
      <c r="I254" t="s">
        <v>17</v>
      </c>
      <c r="J254" t="s">
        <v>18</v>
      </c>
      <c r="L254" s="3">
        <f t="shared" si="23"/>
        <v>21.659999999999997</v>
      </c>
      <c r="M254" s="3">
        <f t="shared" si="18"/>
        <v>21.659999999999997</v>
      </c>
      <c r="N254" t="b">
        <f t="shared" si="19"/>
        <v>0</v>
      </c>
      <c r="O254">
        <f t="shared" si="20"/>
        <v>1</v>
      </c>
      <c r="P254" s="3">
        <f t="shared" si="21"/>
        <v>0</v>
      </c>
      <c r="Q254" t="str">
        <f t="shared" si="22"/>
        <v>Correct</v>
      </c>
    </row>
    <row r="255" spans="1:17" x14ac:dyDescent="0.3">
      <c r="A255" t="s">
        <v>278</v>
      </c>
      <c r="B255" s="2">
        <v>46265</v>
      </c>
      <c r="C255" s="3">
        <v>1.91</v>
      </c>
      <c r="D255" s="3">
        <v>7.16</v>
      </c>
      <c r="E255" s="3">
        <v>1.63</v>
      </c>
      <c r="F255" s="4">
        <v>0</v>
      </c>
      <c r="G255" s="5">
        <v>9426.33</v>
      </c>
      <c r="H255" t="s">
        <v>24</v>
      </c>
      <c r="I255" t="s">
        <v>26</v>
      </c>
      <c r="J255" t="s">
        <v>18</v>
      </c>
      <c r="L255" s="3">
        <f t="shared" si="23"/>
        <v>10.7</v>
      </c>
      <c r="M255" s="3">
        <f t="shared" si="18"/>
        <v>10.7</v>
      </c>
      <c r="N255" t="b">
        <f t="shared" si="19"/>
        <v>0</v>
      </c>
      <c r="O255">
        <f t="shared" si="20"/>
        <v>1</v>
      </c>
      <c r="P255" s="3">
        <f t="shared" si="21"/>
        <v>0</v>
      </c>
      <c r="Q255" t="str">
        <f t="shared" si="22"/>
        <v>Correct</v>
      </c>
    </row>
    <row r="256" spans="1:17" x14ac:dyDescent="0.3">
      <c r="A256" t="s">
        <v>279</v>
      </c>
      <c r="B256" s="2">
        <v>46252</v>
      </c>
      <c r="C256" s="3">
        <v>1.23</v>
      </c>
      <c r="D256" s="3">
        <v>12.69</v>
      </c>
      <c r="E256" s="3">
        <v>7.66</v>
      </c>
      <c r="F256" s="4">
        <v>2</v>
      </c>
      <c r="G256" s="5">
        <v>16565.46</v>
      </c>
      <c r="H256" t="s">
        <v>13</v>
      </c>
      <c r="I256" t="s">
        <v>26</v>
      </c>
      <c r="J256" t="s">
        <v>18</v>
      </c>
      <c r="L256" s="3">
        <f t="shared" si="23"/>
        <v>21.58</v>
      </c>
      <c r="M256" s="3">
        <f t="shared" si="18"/>
        <v>21.58</v>
      </c>
      <c r="N256" t="b">
        <f t="shared" si="19"/>
        <v>0</v>
      </c>
      <c r="O256">
        <f t="shared" si="20"/>
        <v>1</v>
      </c>
      <c r="P256" s="3">
        <f t="shared" si="21"/>
        <v>0</v>
      </c>
      <c r="Q256" t="str">
        <f t="shared" si="22"/>
        <v>Correct</v>
      </c>
    </row>
    <row r="257" spans="1:17" x14ac:dyDescent="0.3">
      <c r="A257" t="s">
        <v>280</v>
      </c>
      <c r="B257" s="2">
        <v>46276</v>
      </c>
      <c r="C257" s="3">
        <v>1.46</v>
      </c>
      <c r="D257" s="3">
        <v>6.03</v>
      </c>
      <c r="E257" s="3">
        <v>3.31</v>
      </c>
      <c r="F257" s="4">
        <v>0</v>
      </c>
      <c r="G257" s="5">
        <v>15338.16</v>
      </c>
      <c r="H257" t="s">
        <v>24</v>
      </c>
      <c r="I257" t="s">
        <v>14</v>
      </c>
      <c r="J257" t="s">
        <v>15</v>
      </c>
      <c r="L257" s="3">
        <f t="shared" si="23"/>
        <v>10.8</v>
      </c>
      <c r="M257" s="3">
        <f t="shared" si="18"/>
        <v>10.8</v>
      </c>
      <c r="N257" t="b">
        <f t="shared" si="19"/>
        <v>0</v>
      </c>
      <c r="O257">
        <f t="shared" si="20"/>
        <v>1</v>
      </c>
      <c r="P257" s="3">
        <f t="shared" si="21"/>
        <v>0</v>
      </c>
      <c r="Q257" t="str">
        <f t="shared" si="22"/>
        <v>Correct</v>
      </c>
    </row>
    <row r="258" spans="1:17" x14ac:dyDescent="0.3">
      <c r="A258" t="s">
        <v>281</v>
      </c>
      <c r="B258" s="2">
        <v>46282</v>
      </c>
      <c r="C258" s="3">
        <v>0.51</v>
      </c>
      <c r="D258" s="3">
        <v>4.67</v>
      </c>
      <c r="E258" s="3">
        <v>1.51</v>
      </c>
      <c r="F258" s="4">
        <v>2</v>
      </c>
      <c r="G258" s="5">
        <v>8693.15</v>
      </c>
      <c r="H258" t="s">
        <v>24</v>
      </c>
      <c r="I258" t="s">
        <v>20</v>
      </c>
      <c r="J258" t="s">
        <v>18</v>
      </c>
      <c r="L258" s="3">
        <f t="shared" si="23"/>
        <v>6.6899999999999995</v>
      </c>
      <c r="M258" s="3">
        <f t="shared" ref="M258:M321" si="24">SUM(C258:E258)</f>
        <v>6.6899999999999995</v>
      </c>
      <c r="N258" t="b">
        <f t="shared" ref="N258:N321" si="25">COUNTIF(A:A,A258)&gt;1</f>
        <v>0</v>
      </c>
      <c r="O258">
        <f t="shared" ref="O258:O321" si="26">COUNTBLANK(A258:L258)</f>
        <v>1</v>
      </c>
      <c r="P258" s="3">
        <f t="shared" ref="P258:P321" si="27">COUNTBLANK(A258:J258)+COUNTBLANK(L258)</f>
        <v>0</v>
      </c>
      <c r="Q258" t="str">
        <f t="shared" ref="Q258:Q321" si="28">IF(L258=M258,"Correct","Mismatch")</f>
        <v>Correct</v>
      </c>
    </row>
    <row r="259" spans="1:17" x14ac:dyDescent="0.3">
      <c r="A259" t="s">
        <v>282</v>
      </c>
      <c r="B259" s="2">
        <v>46274</v>
      </c>
      <c r="C259" s="3">
        <v>0.49</v>
      </c>
      <c r="D259" s="3">
        <v>8.5</v>
      </c>
      <c r="E259" s="3">
        <v>2.56</v>
      </c>
      <c r="F259" s="4">
        <v>0</v>
      </c>
      <c r="G259" s="5">
        <v>67425.2</v>
      </c>
      <c r="H259" t="s">
        <v>13</v>
      </c>
      <c r="I259" t="s">
        <v>26</v>
      </c>
      <c r="J259" t="s">
        <v>18</v>
      </c>
      <c r="L259" s="3">
        <f t="shared" ref="L259:L322" si="29">SUM(C259:E259)</f>
        <v>11.55</v>
      </c>
      <c r="M259" s="3">
        <f t="shared" si="24"/>
        <v>11.55</v>
      </c>
      <c r="N259" t="b">
        <f t="shared" si="25"/>
        <v>0</v>
      </c>
      <c r="O259">
        <f t="shared" si="26"/>
        <v>1</v>
      </c>
      <c r="P259" s="3">
        <f t="shared" si="27"/>
        <v>0</v>
      </c>
      <c r="Q259" t="str">
        <f t="shared" si="28"/>
        <v>Correct</v>
      </c>
    </row>
    <row r="260" spans="1:17" x14ac:dyDescent="0.3">
      <c r="A260" t="s">
        <v>283</v>
      </c>
      <c r="B260" s="2">
        <v>46235</v>
      </c>
      <c r="C260" s="3">
        <v>1.1399999999999999</v>
      </c>
      <c r="D260" s="3">
        <v>2.94</v>
      </c>
      <c r="E260" s="3">
        <v>4.2699999999999996</v>
      </c>
      <c r="F260" s="4">
        <v>1</v>
      </c>
      <c r="G260" s="5">
        <v>10483.73</v>
      </c>
      <c r="H260" t="s">
        <v>24</v>
      </c>
      <c r="I260" t="s">
        <v>26</v>
      </c>
      <c r="J260" t="s">
        <v>18</v>
      </c>
      <c r="L260" s="3">
        <f t="shared" si="29"/>
        <v>8.35</v>
      </c>
      <c r="M260" s="3">
        <f t="shared" si="24"/>
        <v>8.35</v>
      </c>
      <c r="N260" t="b">
        <f t="shared" si="25"/>
        <v>0</v>
      </c>
      <c r="O260">
        <f t="shared" si="26"/>
        <v>1</v>
      </c>
      <c r="P260" s="3">
        <f t="shared" si="27"/>
        <v>0</v>
      </c>
      <c r="Q260" t="str">
        <f t="shared" si="28"/>
        <v>Correct</v>
      </c>
    </row>
    <row r="261" spans="1:17" x14ac:dyDescent="0.3">
      <c r="A261" t="s">
        <v>284</v>
      </c>
      <c r="B261" s="2">
        <v>46294</v>
      </c>
      <c r="C261" s="3">
        <v>1.2</v>
      </c>
      <c r="D261" s="3">
        <v>2.77</v>
      </c>
      <c r="E261" s="3">
        <v>3.17</v>
      </c>
      <c r="F261" s="4">
        <v>2</v>
      </c>
      <c r="G261" s="5">
        <v>25162.82</v>
      </c>
      <c r="H261" t="s">
        <v>24</v>
      </c>
      <c r="I261" t="s">
        <v>14</v>
      </c>
      <c r="J261" t="s">
        <v>18</v>
      </c>
      <c r="L261" s="3">
        <f t="shared" si="29"/>
        <v>7.14</v>
      </c>
      <c r="M261" s="3">
        <f t="shared" si="24"/>
        <v>7.14</v>
      </c>
      <c r="N261" t="b">
        <f t="shared" si="25"/>
        <v>0</v>
      </c>
      <c r="O261">
        <f t="shared" si="26"/>
        <v>1</v>
      </c>
      <c r="P261" s="3">
        <f t="shared" si="27"/>
        <v>0</v>
      </c>
      <c r="Q261" t="str">
        <f t="shared" si="28"/>
        <v>Correct</v>
      </c>
    </row>
    <row r="262" spans="1:17" x14ac:dyDescent="0.3">
      <c r="A262" t="s">
        <v>285</v>
      </c>
      <c r="B262" s="2">
        <v>46236</v>
      </c>
      <c r="C262" s="3">
        <v>1.38</v>
      </c>
      <c r="D262" s="3">
        <v>13.81</v>
      </c>
      <c r="E262" s="3">
        <v>5.76</v>
      </c>
      <c r="F262" s="4">
        <v>1</v>
      </c>
      <c r="G262" s="5">
        <v>32698.41</v>
      </c>
      <c r="H262" t="s">
        <v>13</v>
      </c>
      <c r="I262" t="s">
        <v>26</v>
      </c>
      <c r="J262" t="s">
        <v>18</v>
      </c>
      <c r="L262" s="3">
        <f t="shared" si="29"/>
        <v>20.950000000000003</v>
      </c>
      <c r="M262" s="3">
        <f t="shared" si="24"/>
        <v>20.950000000000003</v>
      </c>
      <c r="N262" t="b">
        <f t="shared" si="25"/>
        <v>0</v>
      </c>
      <c r="O262">
        <f t="shared" si="26"/>
        <v>1</v>
      </c>
      <c r="P262" s="3">
        <f t="shared" si="27"/>
        <v>0</v>
      </c>
      <c r="Q262" t="str">
        <f t="shared" si="28"/>
        <v>Correct</v>
      </c>
    </row>
    <row r="263" spans="1:17" x14ac:dyDescent="0.3">
      <c r="A263" t="s">
        <v>286</v>
      </c>
      <c r="B263" s="2">
        <v>46294</v>
      </c>
      <c r="C263" s="3">
        <v>4.1900000000000004</v>
      </c>
      <c r="D263" s="3">
        <v>2.71</v>
      </c>
      <c r="E263" s="3">
        <v>3.49</v>
      </c>
      <c r="F263" s="4">
        <v>2</v>
      </c>
      <c r="G263" s="5">
        <v>15114.67</v>
      </c>
      <c r="H263" t="s">
        <v>24</v>
      </c>
      <c r="I263" t="s">
        <v>20</v>
      </c>
      <c r="J263" t="s">
        <v>18</v>
      </c>
      <c r="L263" s="3">
        <f t="shared" si="29"/>
        <v>10.39</v>
      </c>
      <c r="M263" s="3">
        <f t="shared" si="24"/>
        <v>10.39</v>
      </c>
      <c r="N263" t="b">
        <f t="shared" si="25"/>
        <v>0</v>
      </c>
      <c r="O263">
        <f t="shared" si="26"/>
        <v>1</v>
      </c>
      <c r="P263" s="3">
        <f t="shared" si="27"/>
        <v>0</v>
      </c>
      <c r="Q263" t="str">
        <f t="shared" si="28"/>
        <v>Correct</v>
      </c>
    </row>
    <row r="264" spans="1:17" x14ac:dyDescent="0.3">
      <c r="A264" t="s">
        <v>287</v>
      </c>
      <c r="B264" s="2">
        <v>46236</v>
      </c>
      <c r="C264" s="3">
        <v>2.65</v>
      </c>
      <c r="D264" s="3">
        <v>3.5</v>
      </c>
      <c r="E264" s="3">
        <v>10.5</v>
      </c>
      <c r="F264" s="4">
        <v>0</v>
      </c>
      <c r="G264" s="5">
        <v>3493.84</v>
      </c>
      <c r="H264" t="s">
        <v>24</v>
      </c>
      <c r="I264" t="s">
        <v>17</v>
      </c>
      <c r="J264" t="s">
        <v>18</v>
      </c>
      <c r="L264" s="3">
        <f t="shared" si="29"/>
        <v>16.649999999999999</v>
      </c>
      <c r="M264" s="3">
        <f t="shared" si="24"/>
        <v>16.649999999999999</v>
      </c>
      <c r="N264" t="b">
        <f t="shared" si="25"/>
        <v>0</v>
      </c>
      <c r="O264">
        <f t="shared" si="26"/>
        <v>1</v>
      </c>
      <c r="P264" s="3">
        <f t="shared" si="27"/>
        <v>0</v>
      </c>
      <c r="Q264" t="str">
        <f t="shared" si="28"/>
        <v>Correct</v>
      </c>
    </row>
    <row r="265" spans="1:17" x14ac:dyDescent="0.3">
      <c r="A265" t="s">
        <v>288</v>
      </c>
      <c r="B265" s="2">
        <v>46265</v>
      </c>
      <c r="C265" s="3">
        <v>0.26</v>
      </c>
      <c r="D265" s="3">
        <v>6.03</v>
      </c>
      <c r="E265" s="3">
        <v>3.43</v>
      </c>
      <c r="F265" s="4">
        <v>1</v>
      </c>
      <c r="G265" s="5">
        <v>11153.41</v>
      </c>
      <c r="H265" t="s">
        <v>24</v>
      </c>
      <c r="I265" t="s">
        <v>26</v>
      </c>
      <c r="J265" t="s">
        <v>18</v>
      </c>
      <c r="L265" s="3">
        <f t="shared" si="29"/>
        <v>9.7200000000000006</v>
      </c>
      <c r="M265" s="3">
        <f t="shared" si="24"/>
        <v>9.7200000000000006</v>
      </c>
      <c r="N265" t="b">
        <f t="shared" si="25"/>
        <v>0</v>
      </c>
      <c r="O265">
        <f t="shared" si="26"/>
        <v>1</v>
      </c>
      <c r="P265" s="3">
        <f t="shared" si="27"/>
        <v>0</v>
      </c>
      <c r="Q265" t="str">
        <f t="shared" si="28"/>
        <v>Correct</v>
      </c>
    </row>
    <row r="266" spans="1:17" x14ac:dyDescent="0.3">
      <c r="A266" t="s">
        <v>289</v>
      </c>
      <c r="B266" s="2">
        <v>46241</v>
      </c>
      <c r="C266" s="3">
        <v>3.66</v>
      </c>
      <c r="D266" s="3">
        <v>3.99</v>
      </c>
      <c r="E266" s="3">
        <v>1.36</v>
      </c>
      <c r="F266" s="4">
        <v>0</v>
      </c>
      <c r="G266" s="5">
        <v>29293.69</v>
      </c>
      <c r="H266" t="s">
        <v>13</v>
      </c>
      <c r="I266" t="s">
        <v>20</v>
      </c>
      <c r="J266" t="s">
        <v>18</v>
      </c>
      <c r="L266" s="3">
        <f t="shared" si="29"/>
        <v>9.01</v>
      </c>
      <c r="M266" s="3">
        <f t="shared" si="24"/>
        <v>9.01</v>
      </c>
      <c r="N266" t="b">
        <f t="shared" si="25"/>
        <v>0</v>
      </c>
      <c r="O266">
        <f t="shared" si="26"/>
        <v>1</v>
      </c>
      <c r="P266" s="3">
        <f t="shared" si="27"/>
        <v>0</v>
      </c>
      <c r="Q266" t="str">
        <f t="shared" si="28"/>
        <v>Correct</v>
      </c>
    </row>
    <row r="267" spans="1:17" x14ac:dyDescent="0.3">
      <c r="A267" t="s">
        <v>290</v>
      </c>
      <c r="B267" s="2">
        <v>46240</v>
      </c>
      <c r="C267" s="3">
        <v>1.1299999999999999</v>
      </c>
      <c r="D267" s="3">
        <v>7.11</v>
      </c>
      <c r="E267" s="3">
        <v>7.32</v>
      </c>
      <c r="F267" s="4">
        <v>2</v>
      </c>
      <c r="G267" s="5">
        <v>12948.92</v>
      </c>
      <c r="H267" t="s">
        <v>24</v>
      </c>
      <c r="I267" t="s">
        <v>26</v>
      </c>
      <c r="J267" t="s">
        <v>18</v>
      </c>
      <c r="L267" s="3">
        <f t="shared" si="29"/>
        <v>15.56</v>
      </c>
      <c r="M267" s="3">
        <f t="shared" si="24"/>
        <v>15.56</v>
      </c>
      <c r="N267" t="b">
        <f t="shared" si="25"/>
        <v>0</v>
      </c>
      <c r="O267">
        <f t="shared" si="26"/>
        <v>1</v>
      </c>
      <c r="P267" s="3">
        <f t="shared" si="27"/>
        <v>0</v>
      </c>
      <c r="Q267" t="str">
        <f t="shared" si="28"/>
        <v>Correct</v>
      </c>
    </row>
    <row r="268" spans="1:17" x14ac:dyDescent="0.3">
      <c r="A268" t="s">
        <v>291</v>
      </c>
      <c r="B268" s="2">
        <v>46276</v>
      </c>
      <c r="C268" s="3">
        <v>2.83</v>
      </c>
      <c r="D268" s="3">
        <v>14.78</v>
      </c>
      <c r="E268" s="3">
        <v>4.12</v>
      </c>
      <c r="F268" s="4">
        <v>1</v>
      </c>
      <c r="G268" s="5">
        <v>10870.89</v>
      </c>
      <c r="H268" t="s">
        <v>24</v>
      </c>
      <c r="I268" t="s">
        <v>17</v>
      </c>
      <c r="J268" t="s">
        <v>18</v>
      </c>
      <c r="L268" s="3">
        <f t="shared" si="29"/>
        <v>21.73</v>
      </c>
      <c r="M268" s="3">
        <f t="shared" si="24"/>
        <v>21.73</v>
      </c>
      <c r="N268" t="b">
        <f t="shared" si="25"/>
        <v>0</v>
      </c>
      <c r="O268">
        <f t="shared" si="26"/>
        <v>1</v>
      </c>
      <c r="P268" s="3">
        <f t="shared" si="27"/>
        <v>0</v>
      </c>
      <c r="Q268" t="str">
        <f t="shared" si="28"/>
        <v>Correct</v>
      </c>
    </row>
    <row r="269" spans="1:17" x14ac:dyDescent="0.3">
      <c r="A269" t="s">
        <v>292</v>
      </c>
      <c r="B269" s="2">
        <v>46278</v>
      </c>
      <c r="C269" s="3">
        <v>1.21</v>
      </c>
      <c r="D269" s="3">
        <v>2.37</v>
      </c>
      <c r="E269" s="3">
        <v>4.3</v>
      </c>
      <c r="F269" s="4">
        <v>1</v>
      </c>
      <c r="G269" s="5">
        <v>7271.75</v>
      </c>
      <c r="H269" t="s">
        <v>24</v>
      </c>
      <c r="I269" t="s">
        <v>26</v>
      </c>
      <c r="J269" t="s">
        <v>18</v>
      </c>
      <c r="L269" s="3">
        <f t="shared" si="29"/>
        <v>7.88</v>
      </c>
      <c r="M269" s="3">
        <f t="shared" si="24"/>
        <v>7.88</v>
      </c>
      <c r="N269" t="b">
        <f t="shared" si="25"/>
        <v>0</v>
      </c>
      <c r="O269">
        <f t="shared" si="26"/>
        <v>1</v>
      </c>
      <c r="P269" s="3">
        <f t="shared" si="27"/>
        <v>0</v>
      </c>
      <c r="Q269" t="str">
        <f t="shared" si="28"/>
        <v>Correct</v>
      </c>
    </row>
    <row r="270" spans="1:17" x14ac:dyDescent="0.3">
      <c r="A270" t="s">
        <v>293</v>
      </c>
      <c r="B270" s="2">
        <v>46242</v>
      </c>
      <c r="C270" s="3">
        <v>1.82</v>
      </c>
      <c r="D270" s="3">
        <v>6.52</v>
      </c>
      <c r="E270" s="3">
        <v>2.2999999999999998</v>
      </c>
      <c r="F270" s="4">
        <v>0</v>
      </c>
      <c r="G270" s="5">
        <v>10067.58</v>
      </c>
      <c r="H270" t="s">
        <v>24</v>
      </c>
      <c r="I270" t="s">
        <v>26</v>
      </c>
      <c r="J270" t="s">
        <v>18</v>
      </c>
      <c r="L270" s="3">
        <f t="shared" si="29"/>
        <v>10.64</v>
      </c>
      <c r="M270" s="3">
        <f t="shared" si="24"/>
        <v>10.64</v>
      </c>
      <c r="N270" t="b">
        <f t="shared" si="25"/>
        <v>0</v>
      </c>
      <c r="O270">
        <f t="shared" si="26"/>
        <v>1</v>
      </c>
      <c r="P270" s="3">
        <f t="shared" si="27"/>
        <v>0</v>
      </c>
      <c r="Q270" t="str">
        <f t="shared" si="28"/>
        <v>Correct</v>
      </c>
    </row>
    <row r="271" spans="1:17" x14ac:dyDescent="0.3">
      <c r="A271" t="s">
        <v>294</v>
      </c>
      <c r="B271" s="2">
        <v>46293</v>
      </c>
      <c r="C271" s="3">
        <v>0.55000000000000004</v>
      </c>
      <c r="D271" s="3">
        <v>2.66</v>
      </c>
      <c r="E271" s="3">
        <v>6.65</v>
      </c>
      <c r="F271" s="4">
        <v>1</v>
      </c>
      <c r="G271" s="5">
        <v>8615.91</v>
      </c>
      <c r="H271" t="s">
        <v>24</v>
      </c>
      <c r="I271" t="s">
        <v>26</v>
      </c>
      <c r="J271" t="s">
        <v>18</v>
      </c>
      <c r="L271" s="3">
        <f t="shared" si="29"/>
        <v>9.86</v>
      </c>
      <c r="M271" s="3">
        <f t="shared" si="24"/>
        <v>9.86</v>
      </c>
      <c r="N271" t="b">
        <f t="shared" si="25"/>
        <v>0</v>
      </c>
      <c r="O271">
        <f t="shared" si="26"/>
        <v>1</v>
      </c>
      <c r="P271" s="3">
        <f t="shared" si="27"/>
        <v>0</v>
      </c>
      <c r="Q271" t="str">
        <f t="shared" si="28"/>
        <v>Correct</v>
      </c>
    </row>
    <row r="272" spans="1:17" x14ac:dyDescent="0.3">
      <c r="A272" t="s">
        <v>295</v>
      </c>
      <c r="B272" s="2">
        <v>46254</v>
      </c>
      <c r="C272" s="3">
        <v>2.13</v>
      </c>
      <c r="D272" s="3">
        <v>3.52</v>
      </c>
      <c r="E272" s="3">
        <v>3.09</v>
      </c>
      <c r="F272" s="4">
        <v>1</v>
      </c>
      <c r="G272" s="5">
        <v>6423.46</v>
      </c>
      <c r="H272" t="s">
        <v>24</v>
      </c>
      <c r="I272" t="s">
        <v>26</v>
      </c>
      <c r="J272" t="s">
        <v>15</v>
      </c>
      <c r="L272" s="3">
        <f t="shared" si="29"/>
        <v>8.74</v>
      </c>
      <c r="M272" s="3">
        <f t="shared" si="24"/>
        <v>8.74</v>
      </c>
      <c r="N272" t="b">
        <f t="shared" si="25"/>
        <v>0</v>
      </c>
      <c r="O272">
        <f t="shared" si="26"/>
        <v>1</v>
      </c>
      <c r="P272" s="3">
        <f t="shared" si="27"/>
        <v>0</v>
      </c>
      <c r="Q272" t="str">
        <f t="shared" si="28"/>
        <v>Correct</v>
      </c>
    </row>
    <row r="273" spans="1:17" x14ac:dyDescent="0.3">
      <c r="A273" t="s">
        <v>296</v>
      </c>
      <c r="B273" s="2">
        <v>46254</v>
      </c>
      <c r="C273" s="3">
        <v>3.06</v>
      </c>
      <c r="D273" s="3">
        <v>5.17</v>
      </c>
      <c r="E273" s="3">
        <v>5.53</v>
      </c>
      <c r="F273" s="4">
        <v>1</v>
      </c>
      <c r="G273" s="5">
        <v>8438.57</v>
      </c>
      <c r="H273" t="s">
        <v>24</v>
      </c>
      <c r="I273" t="s">
        <v>26</v>
      </c>
      <c r="J273" t="s">
        <v>15</v>
      </c>
      <c r="L273" s="3">
        <f t="shared" si="29"/>
        <v>13.760000000000002</v>
      </c>
      <c r="M273" s="3">
        <f t="shared" si="24"/>
        <v>13.760000000000002</v>
      </c>
      <c r="N273" t="b">
        <f t="shared" si="25"/>
        <v>0</v>
      </c>
      <c r="O273">
        <f t="shared" si="26"/>
        <v>1</v>
      </c>
      <c r="P273" s="3">
        <f t="shared" si="27"/>
        <v>0</v>
      </c>
      <c r="Q273" t="str">
        <f t="shared" si="28"/>
        <v>Correct</v>
      </c>
    </row>
    <row r="274" spans="1:17" x14ac:dyDescent="0.3">
      <c r="A274" t="s">
        <v>297</v>
      </c>
      <c r="B274" s="2">
        <v>46252</v>
      </c>
      <c r="C274" s="3">
        <v>0.33</v>
      </c>
      <c r="D274" s="3">
        <v>2.78</v>
      </c>
      <c r="E274" s="3">
        <v>6.38</v>
      </c>
      <c r="F274" s="4">
        <v>1</v>
      </c>
      <c r="G274" s="5">
        <v>11038.12</v>
      </c>
      <c r="H274" t="s">
        <v>24</v>
      </c>
      <c r="I274" t="s">
        <v>26</v>
      </c>
      <c r="J274" t="s">
        <v>18</v>
      </c>
      <c r="L274" s="3">
        <f t="shared" si="29"/>
        <v>9.49</v>
      </c>
      <c r="M274" s="3">
        <f t="shared" si="24"/>
        <v>9.49</v>
      </c>
      <c r="N274" t="b">
        <f t="shared" si="25"/>
        <v>0</v>
      </c>
      <c r="O274">
        <f t="shared" si="26"/>
        <v>1</v>
      </c>
      <c r="P274" s="3">
        <f t="shared" si="27"/>
        <v>0</v>
      </c>
      <c r="Q274" t="str">
        <f t="shared" si="28"/>
        <v>Correct</v>
      </c>
    </row>
    <row r="275" spans="1:17" x14ac:dyDescent="0.3">
      <c r="A275" t="s">
        <v>298</v>
      </c>
      <c r="B275" s="2">
        <v>46262</v>
      </c>
      <c r="C275" s="3">
        <v>3.1</v>
      </c>
      <c r="D275" s="3">
        <v>6.55</v>
      </c>
      <c r="E275" s="3">
        <v>10.15</v>
      </c>
      <c r="F275" s="4">
        <v>1</v>
      </c>
      <c r="G275" s="5">
        <v>17066.080000000002</v>
      </c>
      <c r="H275" t="s">
        <v>13</v>
      </c>
      <c r="I275" t="s">
        <v>14</v>
      </c>
      <c r="J275" t="s">
        <v>18</v>
      </c>
      <c r="L275" s="3">
        <f t="shared" si="29"/>
        <v>19.8</v>
      </c>
      <c r="M275" s="3">
        <f t="shared" si="24"/>
        <v>19.8</v>
      </c>
      <c r="N275" t="b">
        <f t="shared" si="25"/>
        <v>0</v>
      </c>
      <c r="O275">
        <f t="shared" si="26"/>
        <v>1</v>
      </c>
      <c r="P275" s="3">
        <f t="shared" si="27"/>
        <v>0</v>
      </c>
      <c r="Q275" t="str">
        <f t="shared" si="28"/>
        <v>Correct</v>
      </c>
    </row>
    <row r="276" spans="1:17" x14ac:dyDescent="0.3">
      <c r="A276" t="s">
        <v>299</v>
      </c>
      <c r="B276" s="2">
        <v>46245</v>
      </c>
      <c r="C276" s="3">
        <v>0.92</v>
      </c>
      <c r="D276" s="3">
        <v>3.74</v>
      </c>
      <c r="E276" s="3">
        <v>5.35</v>
      </c>
      <c r="F276" s="4">
        <v>1</v>
      </c>
      <c r="G276" s="5">
        <v>6352.13</v>
      </c>
      <c r="H276" t="s">
        <v>24</v>
      </c>
      <c r="I276" t="s">
        <v>14</v>
      </c>
      <c r="J276" t="s">
        <v>18</v>
      </c>
      <c r="L276" s="3">
        <f t="shared" si="29"/>
        <v>10.01</v>
      </c>
      <c r="M276" s="3">
        <f t="shared" si="24"/>
        <v>10.01</v>
      </c>
      <c r="N276" t="b">
        <f t="shared" si="25"/>
        <v>0</v>
      </c>
      <c r="O276">
        <f t="shared" si="26"/>
        <v>1</v>
      </c>
      <c r="P276" s="3">
        <f t="shared" si="27"/>
        <v>0</v>
      </c>
      <c r="Q276" t="str">
        <f t="shared" si="28"/>
        <v>Correct</v>
      </c>
    </row>
    <row r="277" spans="1:17" x14ac:dyDescent="0.3">
      <c r="A277" t="s">
        <v>300</v>
      </c>
      <c r="B277" s="2">
        <v>46260</v>
      </c>
      <c r="C277" s="3">
        <v>5.1100000000000003</v>
      </c>
      <c r="D277" s="3">
        <v>16.079999999999998</v>
      </c>
      <c r="E277" s="3">
        <v>2.21</v>
      </c>
      <c r="F277" s="4">
        <v>2</v>
      </c>
      <c r="G277" s="5">
        <v>40066.97</v>
      </c>
      <c r="H277" t="s">
        <v>13</v>
      </c>
      <c r="I277" t="s">
        <v>17</v>
      </c>
      <c r="J277" t="s">
        <v>18</v>
      </c>
      <c r="L277" s="3">
        <f t="shared" si="29"/>
        <v>23.4</v>
      </c>
      <c r="M277" s="3">
        <f t="shared" si="24"/>
        <v>23.4</v>
      </c>
      <c r="N277" t="b">
        <f t="shared" si="25"/>
        <v>0</v>
      </c>
      <c r="O277">
        <f t="shared" si="26"/>
        <v>1</v>
      </c>
      <c r="P277" s="3">
        <f t="shared" si="27"/>
        <v>0</v>
      </c>
      <c r="Q277" t="str">
        <f t="shared" si="28"/>
        <v>Correct</v>
      </c>
    </row>
    <row r="278" spans="1:17" x14ac:dyDescent="0.3">
      <c r="A278" t="s">
        <v>301</v>
      </c>
      <c r="B278" s="2">
        <v>46247</v>
      </c>
      <c r="C278" s="3">
        <v>2.87</v>
      </c>
      <c r="D278" s="3">
        <v>11.93</v>
      </c>
      <c r="E278" s="3">
        <v>3.05</v>
      </c>
      <c r="F278" s="4">
        <v>0</v>
      </c>
      <c r="G278" s="5">
        <v>12269.83</v>
      </c>
      <c r="H278" t="s">
        <v>24</v>
      </c>
      <c r="I278" t="s">
        <v>17</v>
      </c>
      <c r="J278" t="s">
        <v>18</v>
      </c>
      <c r="L278" s="3">
        <f t="shared" si="29"/>
        <v>17.850000000000001</v>
      </c>
      <c r="M278" s="3">
        <f t="shared" si="24"/>
        <v>17.850000000000001</v>
      </c>
      <c r="N278" t="b">
        <f t="shared" si="25"/>
        <v>0</v>
      </c>
      <c r="O278">
        <f t="shared" si="26"/>
        <v>1</v>
      </c>
      <c r="P278" s="3">
        <f t="shared" si="27"/>
        <v>0</v>
      </c>
      <c r="Q278" t="str">
        <f t="shared" si="28"/>
        <v>Correct</v>
      </c>
    </row>
    <row r="279" spans="1:17" x14ac:dyDescent="0.3">
      <c r="A279" t="s">
        <v>302</v>
      </c>
      <c r="B279" s="2">
        <v>46238</v>
      </c>
      <c r="C279" s="3">
        <v>2.5299999999999998</v>
      </c>
      <c r="D279" s="3">
        <v>4.5999999999999996</v>
      </c>
      <c r="E279" s="3">
        <v>3.34</v>
      </c>
      <c r="F279" s="4">
        <v>0</v>
      </c>
      <c r="G279" s="5">
        <v>13358.76</v>
      </c>
      <c r="H279" t="s">
        <v>24</v>
      </c>
      <c r="I279" t="s">
        <v>17</v>
      </c>
      <c r="J279" t="s">
        <v>18</v>
      </c>
      <c r="L279" s="3">
        <f t="shared" si="29"/>
        <v>10.469999999999999</v>
      </c>
      <c r="M279" s="3">
        <f t="shared" si="24"/>
        <v>10.469999999999999</v>
      </c>
      <c r="N279" t="b">
        <f t="shared" si="25"/>
        <v>0</v>
      </c>
      <c r="O279">
        <f t="shared" si="26"/>
        <v>1</v>
      </c>
      <c r="P279" s="3">
        <f t="shared" si="27"/>
        <v>0</v>
      </c>
      <c r="Q279" t="str">
        <f t="shared" si="28"/>
        <v>Correct</v>
      </c>
    </row>
    <row r="280" spans="1:17" x14ac:dyDescent="0.3">
      <c r="A280" t="s">
        <v>303</v>
      </c>
      <c r="B280" s="2">
        <v>46257</v>
      </c>
      <c r="C280" s="3">
        <v>1.46</v>
      </c>
      <c r="D280" s="3">
        <v>7.09</v>
      </c>
      <c r="E280" s="3">
        <v>8.34</v>
      </c>
      <c r="F280" s="4">
        <v>4</v>
      </c>
      <c r="G280" s="5">
        <v>25786.41</v>
      </c>
      <c r="H280" t="s">
        <v>13</v>
      </c>
      <c r="I280" t="s">
        <v>20</v>
      </c>
      <c r="J280" t="s">
        <v>18</v>
      </c>
      <c r="L280" s="3">
        <f t="shared" si="29"/>
        <v>16.89</v>
      </c>
      <c r="M280" s="3">
        <f t="shared" si="24"/>
        <v>16.89</v>
      </c>
      <c r="N280" t="b">
        <f t="shared" si="25"/>
        <v>0</v>
      </c>
      <c r="O280">
        <f t="shared" si="26"/>
        <v>1</v>
      </c>
      <c r="P280" s="3">
        <f t="shared" si="27"/>
        <v>0</v>
      </c>
      <c r="Q280" t="str">
        <f t="shared" si="28"/>
        <v>Correct</v>
      </c>
    </row>
    <row r="281" spans="1:17" x14ac:dyDescent="0.3">
      <c r="A281" t="s">
        <v>304</v>
      </c>
      <c r="B281" s="2">
        <v>46275</v>
      </c>
      <c r="C281" s="3">
        <v>7.91</v>
      </c>
      <c r="D281" s="3">
        <v>10.74</v>
      </c>
      <c r="E281" s="3">
        <v>1.1000000000000001</v>
      </c>
      <c r="F281" s="4">
        <v>0</v>
      </c>
      <c r="G281" s="5">
        <v>20142.04</v>
      </c>
      <c r="H281" t="s">
        <v>13</v>
      </c>
      <c r="I281" t="s">
        <v>20</v>
      </c>
      <c r="J281" t="s">
        <v>15</v>
      </c>
      <c r="L281" s="3">
        <f t="shared" si="29"/>
        <v>19.75</v>
      </c>
      <c r="M281" s="3">
        <f t="shared" si="24"/>
        <v>19.75</v>
      </c>
      <c r="N281" t="b">
        <f t="shared" si="25"/>
        <v>0</v>
      </c>
      <c r="O281">
        <f t="shared" si="26"/>
        <v>1</v>
      </c>
      <c r="P281" s="3">
        <f t="shared" si="27"/>
        <v>0</v>
      </c>
      <c r="Q281" t="str">
        <f t="shared" si="28"/>
        <v>Correct</v>
      </c>
    </row>
    <row r="282" spans="1:17" x14ac:dyDescent="0.3">
      <c r="A282" t="s">
        <v>305</v>
      </c>
      <c r="B282" s="2">
        <v>46280</v>
      </c>
      <c r="C282" s="3">
        <v>1.1399999999999999</v>
      </c>
      <c r="D282" s="3">
        <v>1.85</v>
      </c>
      <c r="E282" s="3">
        <v>1.17</v>
      </c>
      <c r="F282" s="4">
        <v>1</v>
      </c>
      <c r="G282" s="5">
        <v>10387.18</v>
      </c>
      <c r="H282" t="s">
        <v>24</v>
      </c>
      <c r="I282" t="s">
        <v>26</v>
      </c>
      <c r="J282" t="s">
        <v>18</v>
      </c>
      <c r="L282" s="3">
        <f t="shared" si="29"/>
        <v>4.16</v>
      </c>
      <c r="M282" s="3">
        <f t="shared" si="24"/>
        <v>4.16</v>
      </c>
      <c r="N282" t="b">
        <f t="shared" si="25"/>
        <v>0</v>
      </c>
      <c r="O282">
        <f t="shared" si="26"/>
        <v>1</v>
      </c>
      <c r="P282" s="3">
        <f t="shared" si="27"/>
        <v>0</v>
      </c>
      <c r="Q282" t="str">
        <f t="shared" si="28"/>
        <v>Correct</v>
      </c>
    </row>
    <row r="283" spans="1:17" x14ac:dyDescent="0.3">
      <c r="A283" t="s">
        <v>306</v>
      </c>
      <c r="B283" s="2">
        <v>46256</v>
      </c>
      <c r="C283" s="3">
        <v>0.67</v>
      </c>
      <c r="D283" s="3">
        <v>5.0199999999999996</v>
      </c>
      <c r="E283" s="3">
        <v>3.1</v>
      </c>
      <c r="F283" s="4">
        <v>0</v>
      </c>
      <c r="G283" s="5">
        <v>19787.509999999998</v>
      </c>
      <c r="H283" t="s">
        <v>13</v>
      </c>
      <c r="I283" t="s">
        <v>26</v>
      </c>
      <c r="J283" t="s">
        <v>21</v>
      </c>
      <c r="K283" t="s">
        <v>29</v>
      </c>
      <c r="L283" s="3">
        <f t="shared" si="29"/>
        <v>8.7899999999999991</v>
      </c>
      <c r="M283" s="3">
        <f t="shared" si="24"/>
        <v>8.7899999999999991</v>
      </c>
      <c r="N283" t="b">
        <f t="shared" si="25"/>
        <v>0</v>
      </c>
      <c r="O283">
        <f t="shared" si="26"/>
        <v>0</v>
      </c>
      <c r="P283" s="3">
        <f t="shared" si="27"/>
        <v>0</v>
      </c>
      <c r="Q283" t="str">
        <f t="shared" si="28"/>
        <v>Correct</v>
      </c>
    </row>
    <row r="284" spans="1:17" x14ac:dyDescent="0.3">
      <c r="A284" t="s">
        <v>307</v>
      </c>
      <c r="B284" s="2">
        <v>46254</v>
      </c>
      <c r="C284" s="3">
        <v>0.95</v>
      </c>
      <c r="D284" s="3">
        <v>5.0999999999999996</v>
      </c>
      <c r="E284" s="3">
        <v>8.5500000000000007</v>
      </c>
      <c r="F284" s="4">
        <v>0</v>
      </c>
      <c r="G284" s="5">
        <v>11697.27</v>
      </c>
      <c r="H284" t="s">
        <v>24</v>
      </c>
      <c r="I284" t="s">
        <v>26</v>
      </c>
      <c r="J284" t="s">
        <v>18</v>
      </c>
      <c r="L284" s="3">
        <f t="shared" si="29"/>
        <v>14.600000000000001</v>
      </c>
      <c r="M284" s="3">
        <f t="shared" si="24"/>
        <v>14.600000000000001</v>
      </c>
      <c r="N284" t="b">
        <f t="shared" si="25"/>
        <v>0</v>
      </c>
      <c r="O284">
        <f t="shared" si="26"/>
        <v>1</v>
      </c>
      <c r="P284" s="3">
        <f t="shared" si="27"/>
        <v>0</v>
      </c>
      <c r="Q284" t="str">
        <f t="shared" si="28"/>
        <v>Correct</v>
      </c>
    </row>
    <row r="285" spans="1:17" x14ac:dyDescent="0.3">
      <c r="A285" t="s">
        <v>308</v>
      </c>
      <c r="B285" s="2">
        <v>46282</v>
      </c>
      <c r="C285" s="3">
        <v>3.46</v>
      </c>
      <c r="D285" s="3">
        <v>1.79</v>
      </c>
      <c r="E285" s="3">
        <v>4.26</v>
      </c>
      <c r="F285" s="4">
        <v>0</v>
      </c>
      <c r="G285" s="5">
        <v>9411.17</v>
      </c>
      <c r="H285" t="s">
        <v>24</v>
      </c>
      <c r="I285" t="s">
        <v>26</v>
      </c>
      <c r="J285" t="s">
        <v>18</v>
      </c>
      <c r="L285" s="3">
        <f t="shared" si="29"/>
        <v>9.51</v>
      </c>
      <c r="M285" s="3">
        <f t="shared" si="24"/>
        <v>9.51</v>
      </c>
      <c r="N285" t="b">
        <f t="shared" si="25"/>
        <v>0</v>
      </c>
      <c r="O285">
        <f t="shared" si="26"/>
        <v>1</v>
      </c>
      <c r="P285" s="3">
        <f t="shared" si="27"/>
        <v>0</v>
      </c>
      <c r="Q285" t="str">
        <f t="shared" si="28"/>
        <v>Correct</v>
      </c>
    </row>
    <row r="286" spans="1:17" x14ac:dyDescent="0.3">
      <c r="A286" t="s">
        <v>309</v>
      </c>
      <c r="B286" s="2">
        <v>46275</v>
      </c>
      <c r="C286" s="3">
        <v>1.79</v>
      </c>
      <c r="D286" s="3">
        <v>4.12</v>
      </c>
      <c r="E286" s="3">
        <v>6.38</v>
      </c>
      <c r="F286" s="4">
        <v>1</v>
      </c>
      <c r="G286" s="5">
        <v>53722.51</v>
      </c>
      <c r="H286" t="s">
        <v>13</v>
      </c>
      <c r="I286" t="s">
        <v>14</v>
      </c>
      <c r="J286" t="s">
        <v>18</v>
      </c>
      <c r="L286" s="3">
        <f t="shared" si="29"/>
        <v>12.29</v>
      </c>
      <c r="M286" s="3">
        <f t="shared" si="24"/>
        <v>12.29</v>
      </c>
      <c r="N286" t="b">
        <f t="shared" si="25"/>
        <v>0</v>
      </c>
      <c r="O286">
        <f t="shared" si="26"/>
        <v>1</v>
      </c>
      <c r="P286" s="3">
        <f t="shared" si="27"/>
        <v>0</v>
      </c>
      <c r="Q286" t="str">
        <f t="shared" si="28"/>
        <v>Correct</v>
      </c>
    </row>
    <row r="287" spans="1:17" x14ac:dyDescent="0.3">
      <c r="A287" t="s">
        <v>310</v>
      </c>
      <c r="B287" s="2">
        <v>46284</v>
      </c>
      <c r="C287" s="3">
        <v>1.59</v>
      </c>
      <c r="D287" s="3">
        <v>19.100000000000001</v>
      </c>
      <c r="E287" s="3">
        <v>0.78</v>
      </c>
      <c r="F287" s="4">
        <v>0</v>
      </c>
      <c r="G287" s="5">
        <v>33449.230000000003</v>
      </c>
      <c r="H287" t="s">
        <v>24</v>
      </c>
      <c r="I287" t="s">
        <v>17</v>
      </c>
      <c r="J287" t="s">
        <v>18</v>
      </c>
      <c r="L287" s="3">
        <f t="shared" si="29"/>
        <v>21.470000000000002</v>
      </c>
      <c r="M287" s="3">
        <f t="shared" si="24"/>
        <v>21.470000000000002</v>
      </c>
      <c r="N287" t="b">
        <f t="shared" si="25"/>
        <v>0</v>
      </c>
      <c r="O287">
        <f t="shared" si="26"/>
        <v>1</v>
      </c>
      <c r="P287" s="3">
        <f t="shared" si="27"/>
        <v>0</v>
      </c>
      <c r="Q287" t="str">
        <f t="shared" si="28"/>
        <v>Correct</v>
      </c>
    </row>
    <row r="288" spans="1:17" x14ac:dyDescent="0.3">
      <c r="A288" t="s">
        <v>311</v>
      </c>
      <c r="B288" s="2">
        <v>46289</v>
      </c>
      <c r="C288" s="3">
        <v>1.1499999999999999</v>
      </c>
      <c r="D288" s="3">
        <v>3.65</v>
      </c>
      <c r="E288" s="3">
        <v>2.73</v>
      </c>
      <c r="F288" s="4">
        <v>0</v>
      </c>
      <c r="G288" s="5">
        <v>26596.58</v>
      </c>
      <c r="H288" t="s">
        <v>13</v>
      </c>
      <c r="I288" t="s">
        <v>26</v>
      </c>
      <c r="J288" t="s">
        <v>21</v>
      </c>
      <c r="K288" t="s">
        <v>22</v>
      </c>
      <c r="L288" s="3">
        <f t="shared" si="29"/>
        <v>7.5299999999999994</v>
      </c>
      <c r="M288" s="3">
        <f t="shared" si="24"/>
        <v>7.5299999999999994</v>
      </c>
      <c r="N288" t="b">
        <f t="shared" si="25"/>
        <v>0</v>
      </c>
      <c r="O288">
        <f t="shared" si="26"/>
        <v>0</v>
      </c>
      <c r="P288" s="3">
        <f t="shared" si="27"/>
        <v>0</v>
      </c>
      <c r="Q288" t="str">
        <f t="shared" si="28"/>
        <v>Correct</v>
      </c>
    </row>
    <row r="289" spans="1:17" x14ac:dyDescent="0.3">
      <c r="A289" t="s">
        <v>312</v>
      </c>
      <c r="B289" s="2">
        <v>46284</v>
      </c>
      <c r="C289" s="3">
        <v>1.53</v>
      </c>
      <c r="D289" s="3">
        <v>4.8499999999999996</v>
      </c>
      <c r="E289" s="3">
        <v>6.09</v>
      </c>
      <c r="F289" s="4">
        <v>0</v>
      </c>
      <c r="G289" s="5">
        <v>6862.09</v>
      </c>
      <c r="H289" t="s">
        <v>24</v>
      </c>
      <c r="I289" t="s">
        <v>17</v>
      </c>
      <c r="J289" t="s">
        <v>18</v>
      </c>
      <c r="L289" s="3">
        <f t="shared" si="29"/>
        <v>12.469999999999999</v>
      </c>
      <c r="M289" s="3">
        <f t="shared" si="24"/>
        <v>12.469999999999999</v>
      </c>
      <c r="N289" t="b">
        <f t="shared" si="25"/>
        <v>0</v>
      </c>
      <c r="O289">
        <f t="shared" si="26"/>
        <v>1</v>
      </c>
      <c r="P289" s="3">
        <f t="shared" si="27"/>
        <v>0</v>
      </c>
      <c r="Q289" t="str">
        <f t="shared" si="28"/>
        <v>Correct</v>
      </c>
    </row>
    <row r="290" spans="1:17" x14ac:dyDescent="0.3">
      <c r="A290" t="s">
        <v>313</v>
      </c>
      <c r="B290" s="2">
        <v>46291</v>
      </c>
      <c r="C290" s="3">
        <v>1.0900000000000001</v>
      </c>
      <c r="D290" s="3">
        <v>13.32</v>
      </c>
      <c r="E290" s="3">
        <v>5.98</v>
      </c>
      <c r="F290" s="4">
        <v>3</v>
      </c>
      <c r="G290" s="5">
        <v>75269.53</v>
      </c>
      <c r="H290" t="s">
        <v>13</v>
      </c>
      <c r="I290" t="s">
        <v>17</v>
      </c>
      <c r="J290" t="s">
        <v>18</v>
      </c>
      <c r="L290" s="3">
        <f t="shared" si="29"/>
        <v>20.39</v>
      </c>
      <c r="M290" s="3">
        <f t="shared" si="24"/>
        <v>20.39</v>
      </c>
      <c r="N290" t="b">
        <f t="shared" si="25"/>
        <v>0</v>
      </c>
      <c r="O290">
        <f t="shared" si="26"/>
        <v>1</v>
      </c>
      <c r="P290" s="3">
        <f t="shared" si="27"/>
        <v>0</v>
      </c>
      <c r="Q290" t="str">
        <f t="shared" si="28"/>
        <v>Correct</v>
      </c>
    </row>
    <row r="291" spans="1:17" x14ac:dyDescent="0.3">
      <c r="A291" t="s">
        <v>314</v>
      </c>
      <c r="B291" s="2">
        <v>46259</v>
      </c>
      <c r="C291" s="3">
        <v>2.7</v>
      </c>
      <c r="D291" s="3">
        <v>1.6</v>
      </c>
      <c r="E291" s="3">
        <v>0.56999999999999995</v>
      </c>
      <c r="F291" s="4">
        <v>0</v>
      </c>
      <c r="G291" s="5">
        <v>11367.57</v>
      </c>
      <c r="H291" t="s">
        <v>24</v>
      </c>
      <c r="I291" t="s">
        <v>26</v>
      </c>
      <c r="J291" t="s">
        <v>18</v>
      </c>
      <c r="L291" s="3">
        <f t="shared" si="29"/>
        <v>4.870000000000001</v>
      </c>
      <c r="M291" s="3">
        <f t="shared" si="24"/>
        <v>4.870000000000001</v>
      </c>
      <c r="N291" t="b">
        <f t="shared" si="25"/>
        <v>0</v>
      </c>
      <c r="O291">
        <f t="shared" si="26"/>
        <v>1</v>
      </c>
      <c r="P291" s="3">
        <f t="shared" si="27"/>
        <v>0</v>
      </c>
      <c r="Q291" t="str">
        <f t="shared" si="28"/>
        <v>Correct</v>
      </c>
    </row>
    <row r="292" spans="1:17" x14ac:dyDescent="0.3">
      <c r="A292" t="s">
        <v>315</v>
      </c>
      <c r="B292" s="2">
        <v>46258</v>
      </c>
      <c r="C292" s="3">
        <v>1.36</v>
      </c>
      <c r="D292" s="3">
        <v>3.78</v>
      </c>
      <c r="E292" s="3">
        <v>2.69</v>
      </c>
      <c r="F292" s="4">
        <v>0</v>
      </c>
      <c r="G292" s="5">
        <v>4570.4399999999996</v>
      </c>
      <c r="H292" t="s">
        <v>24</v>
      </c>
      <c r="I292" t="s">
        <v>20</v>
      </c>
      <c r="J292" t="s">
        <v>18</v>
      </c>
      <c r="L292" s="3">
        <f t="shared" si="29"/>
        <v>7.83</v>
      </c>
      <c r="M292" s="3">
        <f t="shared" si="24"/>
        <v>7.83</v>
      </c>
      <c r="N292" t="b">
        <f t="shared" si="25"/>
        <v>0</v>
      </c>
      <c r="O292">
        <f t="shared" si="26"/>
        <v>1</v>
      </c>
      <c r="P292" s="3">
        <f t="shared" si="27"/>
        <v>0</v>
      </c>
      <c r="Q292" t="str">
        <f t="shared" si="28"/>
        <v>Correct</v>
      </c>
    </row>
    <row r="293" spans="1:17" x14ac:dyDescent="0.3">
      <c r="A293" t="s">
        <v>316</v>
      </c>
      <c r="B293" s="2">
        <v>46254</v>
      </c>
      <c r="C293" s="3">
        <v>0.97</v>
      </c>
      <c r="D293" s="3">
        <v>2.14</v>
      </c>
      <c r="E293" s="3">
        <v>4.05</v>
      </c>
      <c r="F293" s="4">
        <v>0</v>
      </c>
      <c r="G293" s="5">
        <v>18351.62</v>
      </c>
      <c r="H293" t="s">
        <v>24</v>
      </c>
      <c r="I293" t="s">
        <v>26</v>
      </c>
      <c r="J293" t="s">
        <v>18</v>
      </c>
      <c r="L293" s="3">
        <f t="shared" si="29"/>
        <v>7.16</v>
      </c>
      <c r="M293" s="3">
        <f t="shared" si="24"/>
        <v>7.16</v>
      </c>
      <c r="N293" t="b">
        <f t="shared" si="25"/>
        <v>0</v>
      </c>
      <c r="O293">
        <f t="shared" si="26"/>
        <v>1</v>
      </c>
      <c r="P293" s="3">
        <f t="shared" si="27"/>
        <v>0</v>
      </c>
      <c r="Q293" t="str">
        <f t="shared" si="28"/>
        <v>Correct</v>
      </c>
    </row>
    <row r="294" spans="1:17" x14ac:dyDescent="0.3">
      <c r="A294" t="s">
        <v>317</v>
      </c>
      <c r="B294" s="2">
        <v>46249</v>
      </c>
      <c r="C294" s="3">
        <v>3.26</v>
      </c>
      <c r="D294" s="3">
        <v>4.8499999999999996</v>
      </c>
      <c r="E294" s="3">
        <v>2.4700000000000002</v>
      </c>
      <c r="F294" s="4">
        <v>0</v>
      </c>
      <c r="G294" s="5">
        <v>9397.44</v>
      </c>
      <c r="H294" t="s">
        <v>24</v>
      </c>
      <c r="I294" t="s">
        <v>20</v>
      </c>
      <c r="J294" t="s">
        <v>18</v>
      </c>
      <c r="L294" s="3">
        <f t="shared" si="29"/>
        <v>10.58</v>
      </c>
      <c r="M294" s="3">
        <f t="shared" si="24"/>
        <v>10.58</v>
      </c>
      <c r="N294" t="b">
        <f t="shared" si="25"/>
        <v>0</v>
      </c>
      <c r="O294">
        <f t="shared" si="26"/>
        <v>1</v>
      </c>
      <c r="P294" s="3">
        <f t="shared" si="27"/>
        <v>0</v>
      </c>
      <c r="Q294" t="str">
        <f t="shared" si="28"/>
        <v>Correct</v>
      </c>
    </row>
    <row r="295" spans="1:17" x14ac:dyDescent="0.3">
      <c r="A295" t="s">
        <v>318</v>
      </c>
      <c r="B295" s="2">
        <v>46279</v>
      </c>
      <c r="C295" s="3">
        <v>0.69</v>
      </c>
      <c r="D295" s="3">
        <v>0.25</v>
      </c>
      <c r="E295" s="3">
        <v>1.23</v>
      </c>
      <c r="F295" s="4">
        <v>0</v>
      </c>
      <c r="G295" s="5">
        <v>5372.17</v>
      </c>
      <c r="H295" t="s">
        <v>24</v>
      </c>
      <c r="I295" t="s">
        <v>26</v>
      </c>
      <c r="J295" t="s">
        <v>18</v>
      </c>
      <c r="L295" s="3">
        <f t="shared" si="29"/>
        <v>2.17</v>
      </c>
      <c r="M295" s="3">
        <f t="shared" si="24"/>
        <v>2.17</v>
      </c>
      <c r="N295" t="b">
        <f t="shared" si="25"/>
        <v>0</v>
      </c>
      <c r="O295">
        <f t="shared" si="26"/>
        <v>1</v>
      </c>
      <c r="P295" s="3">
        <f t="shared" si="27"/>
        <v>0</v>
      </c>
      <c r="Q295" t="str">
        <f t="shared" si="28"/>
        <v>Correct</v>
      </c>
    </row>
    <row r="296" spans="1:17" x14ac:dyDescent="0.3">
      <c r="A296" t="s">
        <v>319</v>
      </c>
      <c r="B296" s="2">
        <v>46277</v>
      </c>
      <c r="C296" s="3">
        <v>1.81</v>
      </c>
      <c r="D296" s="3">
        <v>4.3899999999999997</v>
      </c>
      <c r="E296" s="3">
        <v>6.52</v>
      </c>
      <c r="F296" s="4">
        <v>1</v>
      </c>
      <c r="G296" s="5">
        <v>19031.13</v>
      </c>
      <c r="H296" t="s">
        <v>24</v>
      </c>
      <c r="I296" t="s">
        <v>20</v>
      </c>
      <c r="J296" t="s">
        <v>21</v>
      </c>
      <c r="K296" t="s">
        <v>22</v>
      </c>
      <c r="L296" s="3">
        <f t="shared" si="29"/>
        <v>12.719999999999999</v>
      </c>
      <c r="M296" s="3">
        <f t="shared" si="24"/>
        <v>12.719999999999999</v>
      </c>
      <c r="N296" t="b">
        <f t="shared" si="25"/>
        <v>0</v>
      </c>
      <c r="O296">
        <f t="shared" si="26"/>
        <v>0</v>
      </c>
      <c r="P296" s="3">
        <f t="shared" si="27"/>
        <v>0</v>
      </c>
      <c r="Q296" t="str">
        <f t="shared" si="28"/>
        <v>Correct</v>
      </c>
    </row>
    <row r="297" spans="1:17" x14ac:dyDescent="0.3">
      <c r="A297" t="s">
        <v>320</v>
      </c>
      <c r="B297" s="2">
        <v>46283</v>
      </c>
      <c r="C297" s="3">
        <v>0.25</v>
      </c>
      <c r="D297" s="3">
        <v>5.19</v>
      </c>
      <c r="E297" s="3">
        <v>3.25</v>
      </c>
      <c r="F297" s="4">
        <v>1</v>
      </c>
      <c r="G297" s="5">
        <v>13962.38</v>
      </c>
      <c r="H297" t="s">
        <v>24</v>
      </c>
      <c r="I297" t="s">
        <v>20</v>
      </c>
      <c r="J297" t="s">
        <v>18</v>
      </c>
      <c r="L297" s="3">
        <f t="shared" si="29"/>
        <v>8.6900000000000013</v>
      </c>
      <c r="M297" s="3">
        <f t="shared" si="24"/>
        <v>8.6900000000000013</v>
      </c>
      <c r="N297" t="b">
        <f t="shared" si="25"/>
        <v>0</v>
      </c>
      <c r="O297">
        <f t="shared" si="26"/>
        <v>1</v>
      </c>
      <c r="P297" s="3">
        <f t="shared" si="27"/>
        <v>0</v>
      </c>
      <c r="Q297" t="str">
        <f t="shared" si="28"/>
        <v>Correct</v>
      </c>
    </row>
    <row r="298" spans="1:17" x14ac:dyDescent="0.3">
      <c r="A298" t="s">
        <v>321</v>
      </c>
      <c r="B298" s="2">
        <v>46245</v>
      </c>
      <c r="C298" s="3">
        <v>0.45</v>
      </c>
      <c r="D298" s="3">
        <v>3.11</v>
      </c>
      <c r="E298" s="3">
        <v>3.6</v>
      </c>
      <c r="F298" s="4">
        <v>0</v>
      </c>
      <c r="G298" s="5">
        <v>4936.9399999999996</v>
      </c>
      <c r="H298" t="s">
        <v>24</v>
      </c>
      <c r="I298" t="s">
        <v>20</v>
      </c>
      <c r="J298" t="s">
        <v>18</v>
      </c>
      <c r="L298" s="3">
        <f t="shared" si="29"/>
        <v>7.16</v>
      </c>
      <c r="M298" s="3">
        <f t="shared" si="24"/>
        <v>7.16</v>
      </c>
      <c r="N298" t="b">
        <f t="shared" si="25"/>
        <v>0</v>
      </c>
      <c r="O298">
        <f t="shared" si="26"/>
        <v>1</v>
      </c>
      <c r="P298" s="3">
        <f t="shared" si="27"/>
        <v>0</v>
      </c>
      <c r="Q298" t="str">
        <f t="shared" si="28"/>
        <v>Correct</v>
      </c>
    </row>
    <row r="299" spans="1:17" x14ac:dyDescent="0.3">
      <c r="A299" t="s">
        <v>322</v>
      </c>
      <c r="B299" s="2">
        <v>46264</v>
      </c>
      <c r="C299" s="3">
        <v>1.24</v>
      </c>
      <c r="D299" s="3">
        <v>3.26</v>
      </c>
      <c r="E299" s="3">
        <v>2.64</v>
      </c>
      <c r="F299" s="4">
        <v>0</v>
      </c>
      <c r="G299" s="5">
        <v>26303.32</v>
      </c>
      <c r="H299" t="s">
        <v>24</v>
      </c>
      <c r="I299" t="s">
        <v>20</v>
      </c>
      <c r="J299" t="s">
        <v>18</v>
      </c>
      <c r="L299" s="3">
        <f t="shared" si="29"/>
        <v>7.1400000000000006</v>
      </c>
      <c r="M299" s="3">
        <f t="shared" si="24"/>
        <v>7.1400000000000006</v>
      </c>
      <c r="N299" t="b">
        <f t="shared" si="25"/>
        <v>0</v>
      </c>
      <c r="O299">
        <f t="shared" si="26"/>
        <v>1</v>
      </c>
      <c r="P299" s="3">
        <f t="shared" si="27"/>
        <v>0</v>
      </c>
      <c r="Q299" t="str">
        <f t="shared" si="28"/>
        <v>Correct</v>
      </c>
    </row>
    <row r="300" spans="1:17" x14ac:dyDescent="0.3">
      <c r="A300" t="s">
        <v>323</v>
      </c>
      <c r="B300" s="2">
        <v>46248</v>
      </c>
      <c r="C300" s="3">
        <v>1.07</v>
      </c>
      <c r="D300" s="3">
        <v>3.81</v>
      </c>
      <c r="E300" s="3">
        <v>1.82</v>
      </c>
      <c r="F300" s="4">
        <v>0</v>
      </c>
      <c r="G300" s="5">
        <v>59431.69</v>
      </c>
      <c r="H300" t="s">
        <v>13</v>
      </c>
      <c r="I300" t="s">
        <v>14</v>
      </c>
      <c r="J300" t="s">
        <v>18</v>
      </c>
      <c r="L300" s="3">
        <f t="shared" si="29"/>
        <v>6.7</v>
      </c>
      <c r="M300" s="3">
        <f t="shared" si="24"/>
        <v>6.7</v>
      </c>
      <c r="N300" t="b">
        <f t="shared" si="25"/>
        <v>0</v>
      </c>
      <c r="O300">
        <f t="shared" si="26"/>
        <v>1</v>
      </c>
      <c r="P300" s="3">
        <f t="shared" si="27"/>
        <v>0</v>
      </c>
      <c r="Q300" t="str">
        <f t="shared" si="28"/>
        <v>Correct</v>
      </c>
    </row>
    <row r="301" spans="1:17" x14ac:dyDescent="0.3">
      <c r="A301" t="s">
        <v>324</v>
      </c>
      <c r="B301" s="2">
        <v>46288</v>
      </c>
      <c r="C301" s="3">
        <v>1.07</v>
      </c>
      <c r="D301" s="3">
        <v>5.05</v>
      </c>
      <c r="E301" s="3">
        <v>10.67</v>
      </c>
      <c r="F301" s="4">
        <v>2</v>
      </c>
      <c r="G301" s="5">
        <v>12105.24</v>
      </c>
      <c r="H301" t="s">
        <v>13</v>
      </c>
      <c r="I301" t="s">
        <v>14</v>
      </c>
      <c r="J301" t="s">
        <v>18</v>
      </c>
      <c r="L301" s="3">
        <f t="shared" si="29"/>
        <v>16.79</v>
      </c>
      <c r="M301" s="3">
        <f t="shared" si="24"/>
        <v>16.79</v>
      </c>
      <c r="N301" t="b">
        <f t="shared" si="25"/>
        <v>0</v>
      </c>
      <c r="O301">
        <f t="shared" si="26"/>
        <v>1</v>
      </c>
      <c r="P301" s="3">
        <f t="shared" si="27"/>
        <v>0</v>
      </c>
      <c r="Q301" t="str">
        <f t="shared" si="28"/>
        <v>Correct</v>
      </c>
    </row>
    <row r="302" spans="1:17" x14ac:dyDescent="0.3">
      <c r="A302" t="s">
        <v>325</v>
      </c>
      <c r="B302" s="2">
        <v>46251</v>
      </c>
      <c r="C302" s="3">
        <v>2.89</v>
      </c>
      <c r="D302" s="3">
        <v>13.93</v>
      </c>
      <c r="E302" s="3">
        <v>2.92</v>
      </c>
      <c r="F302" s="4">
        <v>2</v>
      </c>
      <c r="G302" s="5">
        <v>14396.21</v>
      </c>
      <c r="H302" t="s">
        <v>13</v>
      </c>
      <c r="I302" t="s">
        <v>14</v>
      </c>
      <c r="J302" t="s">
        <v>15</v>
      </c>
      <c r="L302" s="3">
        <f t="shared" si="29"/>
        <v>19.740000000000002</v>
      </c>
      <c r="M302" s="3">
        <f t="shared" si="24"/>
        <v>19.740000000000002</v>
      </c>
      <c r="N302" t="b">
        <f t="shared" si="25"/>
        <v>0</v>
      </c>
      <c r="O302">
        <f t="shared" si="26"/>
        <v>1</v>
      </c>
      <c r="P302" s="3">
        <f t="shared" si="27"/>
        <v>0</v>
      </c>
      <c r="Q302" t="str">
        <f t="shared" si="28"/>
        <v>Correct</v>
      </c>
    </row>
    <row r="303" spans="1:17" x14ac:dyDescent="0.3">
      <c r="A303" t="s">
        <v>326</v>
      </c>
      <c r="B303" s="2">
        <v>46243</v>
      </c>
      <c r="C303" s="3">
        <v>3.01</v>
      </c>
      <c r="D303" s="3">
        <v>7.36</v>
      </c>
      <c r="E303" s="3">
        <v>5.34</v>
      </c>
      <c r="F303" s="4">
        <v>2</v>
      </c>
      <c r="G303" s="5">
        <v>10803.37</v>
      </c>
      <c r="H303" t="s">
        <v>24</v>
      </c>
      <c r="I303" t="s">
        <v>26</v>
      </c>
      <c r="J303" t="s">
        <v>18</v>
      </c>
      <c r="L303" s="3">
        <f t="shared" si="29"/>
        <v>15.71</v>
      </c>
      <c r="M303" s="3">
        <f t="shared" si="24"/>
        <v>15.71</v>
      </c>
      <c r="N303" t="b">
        <f t="shared" si="25"/>
        <v>0</v>
      </c>
      <c r="O303">
        <f t="shared" si="26"/>
        <v>1</v>
      </c>
      <c r="P303" s="3">
        <f t="shared" si="27"/>
        <v>0</v>
      </c>
      <c r="Q303" t="str">
        <f t="shared" si="28"/>
        <v>Correct</v>
      </c>
    </row>
    <row r="304" spans="1:17" x14ac:dyDescent="0.3">
      <c r="A304" t="s">
        <v>327</v>
      </c>
      <c r="B304" s="2">
        <v>46269</v>
      </c>
      <c r="C304" s="3">
        <v>2.08</v>
      </c>
      <c r="D304" s="3">
        <v>8.33</v>
      </c>
      <c r="E304" s="3">
        <v>3.44</v>
      </c>
      <c r="F304" s="4">
        <v>2</v>
      </c>
      <c r="G304" s="5">
        <v>24509.54</v>
      </c>
      <c r="H304" t="s">
        <v>13</v>
      </c>
      <c r="I304" t="s">
        <v>17</v>
      </c>
      <c r="J304" t="s">
        <v>18</v>
      </c>
      <c r="L304" s="3">
        <f t="shared" si="29"/>
        <v>13.85</v>
      </c>
      <c r="M304" s="3">
        <f t="shared" si="24"/>
        <v>13.85</v>
      </c>
      <c r="N304" t="b">
        <f t="shared" si="25"/>
        <v>0</v>
      </c>
      <c r="O304">
        <f t="shared" si="26"/>
        <v>1</v>
      </c>
      <c r="P304" s="3">
        <f t="shared" si="27"/>
        <v>0</v>
      </c>
      <c r="Q304" t="str">
        <f t="shared" si="28"/>
        <v>Correct</v>
      </c>
    </row>
    <row r="305" spans="1:17" x14ac:dyDescent="0.3">
      <c r="A305" t="s">
        <v>328</v>
      </c>
      <c r="B305" s="2">
        <v>46287</v>
      </c>
      <c r="C305" s="3">
        <v>0.66</v>
      </c>
      <c r="D305" s="3">
        <v>5.03</v>
      </c>
      <c r="E305" s="3">
        <v>5.5</v>
      </c>
      <c r="F305" s="4">
        <v>2</v>
      </c>
      <c r="G305" s="5">
        <v>6883.17</v>
      </c>
      <c r="H305" t="s">
        <v>24</v>
      </c>
      <c r="I305" t="s">
        <v>17</v>
      </c>
      <c r="J305" t="s">
        <v>18</v>
      </c>
      <c r="L305" s="3">
        <f t="shared" si="29"/>
        <v>11.190000000000001</v>
      </c>
      <c r="M305" s="3">
        <f t="shared" si="24"/>
        <v>11.190000000000001</v>
      </c>
      <c r="N305" t="b">
        <f t="shared" si="25"/>
        <v>0</v>
      </c>
      <c r="O305">
        <f t="shared" si="26"/>
        <v>1</v>
      </c>
      <c r="P305" s="3">
        <f t="shared" si="27"/>
        <v>0</v>
      </c>
      <c r="Q305" t="str">
        <f t="shared" si="28"/>
        <v>Correct</v>
      </c>
    </row>
    <row r="306" spans="1:17" x14ac:dyDescent="0.3">
      <c r="A306" t="s">
        <v>329</v>
      </c>
      <c r="B306" s="2">
        <v>46289</v>
      </c>
      <c r="C306" s="3">
        <v>1.52</v>
      </c>
      <c r="D306" s="3">
        <v>6.92</v>
      </c>
      <c r="E306" s="3">
        <v>9.83</v>
      </c>
      <c r="F306" s="4">
        <v>1</v>
      </c>
      <c r="G306" s="5">
        <v>13629.85</v>
      </c>
      <c r="H306" t="s">
        <v>24</v>
      </c>
      <c r="I306" t="s">
        <v>20</v>
      </c>
      <c r="J306" t="s">
        <v>18</v>
      </c>
      <c r="L306" s="3">
        <f t="shared" si="29"/>
        <v>18.27</v>
      </c>
      <c r="M306" s="3">
        <f t="shared" si="24"/>
        <v>18.27</v>
      </c>
      <c r="N306" t="b">
        <f t="shared" si="25"/>
        <v>0</v>
      </c>
      <c r="O306">
        <f t="shared" si="26"/>
        <v>1</v>
      </c>
      <c r="P306" s="3">
        <f t="shared" si="27"/>
        <v>0</v>
      </c>
      <c r="Q306" t="str">
        <f t="shared" si="28"/>
        <v>Correct</v>
      </c>
    </row>
    <row r="307" spans="1:17" x14ac:dyDescent="0.3">
      <c r="A307" t="s">
        <v>330</v>
      </c>
      <c r="B307" s="2">
        <v>46240</v>
      </c>
      <c r="C307" s="3">
        <v>5.59</v>
      </c>
      <c r="D307" s="3">
        <v>7.65</v>
      </c>
      <c r="E307" s="3">
        <v>6.2</v>
      </c>
      <c r="F307" s="4">
        <v>1</v>
      </c>
      <c r="G307" s="5">
        <v>12863.28</v>
      </c>
      <c r="H307" t="s">
        <v>24</v>
      </c>
      <c r="I307" t="s">
        <v>17</v>
      </c>
      <c r="J307" t="s">
        <v>21</v>
      </c>
      <c r="K307" t="s">
        <v>163</v>
      </c>
      <c r="L307" s="3">
        <f t="shared" si="29"/>
        <v>19.440000000000001</v>
      </c>
      <c r="M307" s="3">
        <f t="shared" si="24"/>
        <v>19.440000000000001</v>
      </c>
      <c r="N307" t="b">
        <f t="shared" si="25"/>
        <v>0</v>
      </c>
      <c r="O307">
        <f t="shared" si="26"/>
        <v>0</v>
      </c>
      <c r="P307" s="3">
        <f t="shared" si="27"/>
        <v>0</v>
      </c>
      <c r="Q307" t="str">
        <f t="shared" si="28"/>
        <v>Correct</v>
      </c>
    </row>
    <row r="308" spans="1:17" x14ac:dyDescent="0.3">
      <c r="A308" t="s">
        <v>331</v>
      </c>
      <c r="B308" s="2">
        <v>46254</v>
      </c>
      <c r="C308" s="3">
        <v>7.4</v>
      </c>
      <c r="D308" s="3">
        <v>3.89</v>
      </c>
      <c r="E308" s="3">
        <v>1.81</v>
      </c>
      <c r="F308" s="4">
        <v>0</v>
      </c>
      <c r="G308" s="5">
        <v>18080.560000000001</v>
      </c>
      <c r="H308" t="s">
        <v>13</v>
      </c>
      <c r="I308" t="s">
        <v>17</v>
      </c>
      <c r="J308" t="s">
        <v>18</v>
      </c>
      <c r="L308" s="3">
        <f t="shared" si="29"/>
        <v>13.100000000000001</v>
      </c>
      <c r="M308" s="3">
        <f t="shared" si="24"/>
        <v>13.100000000000001</v>
      </c>
      <c r="N308" t="b">
        <f t="shared" si="25"/>
        <v>0</v>
      </c>
      <c r="O308">
        <f t="shared" si="26"/>
        <v>1</v>
      </c>
      <c r="P308" s="3">
        <f t="shared" si="27"/>
        <v>0</v>
      </c>
      <c r="Q308" t="str">
        <f t="shared" si="28"/>
        <v>Correct</v>
      </c>
    </row>
    <row r="309" spans="1:17" x14ac:dyDescent="0.3">
      <c r="A309" t="s">
        <v>332</v>
      </c>
      <c r="B309" s="2">
        <v>46244</v>
      </c>
      <c r="C309" s="3">
        <v>3.28</v>
      </c>
      <c r="D309" s="3">
        <v>3.43</v>
      </c>
      <c r="E309" s="3">
        <v>7</v>
      </c>
      <c r="F309" s="4">
        <v>0</v>
      </c>
      <c r="G309" s="5">
        <v>6409.31</v>
      </c>
      <c r="H309" t="s">
        <v>24</v>
      </c>
      <c r="I309" t="s">
        <v>14</v>
      </c>
      <c r="J309" t="s">
        <v>18</v>
      </c>
      <c r="L309" s="3">
        <f t="shared" si="29"/>
        <v>13.71</v>
      </c>
      <c r="M309" s="3">
        <f t="shared" si="24"/>
        <v>13.71</v>
      </c>
      <c r="N309" t="b">
        <f t="shared" si="25"/>
        <v>0</v>
      </c>
      <c r="O309">
        <f t="shared" si="26"/>
        <v>1</v>
      </c>
      <c r="P309" s="3">
        <f t="shared" si="27"/>
        <v>0</v>
      </c>
      <c r="Q309" t="str">
        <f t="shared" si="28"/>
        <v>Correct</v>
      </c>
    </row>
    <row r="310" spans="1:17" x14ac:dyDescent="0.3">
      <c r="A310" t="s">
        <v>333</v>
      </c>
      <c r="B310" s="2">
        <v>46253</v>
      </c>
      <c r="C310" s="3">
        <v>0.68</v>
      </c>
      <c r="D310" s="3">
        <v>9.6300000000000008</v>
      </c>
      <c r="E310" s="3">
        <v>5.5</v>
      </c>
      <c r="F310" s="4">
        <v>1</v>
      </c>
      <c r="G310" s="5">
        <v>10630.28</v>
      </c>
      <c r="H310" t="s">
        <v>24</v>
      </c>
      <c r="I310" t="s">
        <v>26</v>
      </c>
      <c r="J310" t="s">
        <v>18</v>
      </c>
      <c r="L310" s="3">
        <f t="shared" si="29"/>
        <v>15.81</v>
      </c>
      <c r="M310" s="3">
        <f t="shared" si="24"/>
        <v>15.81</v>
      </c>
      <c r="N310" t="b">
        <f t="shared" si="25"/>
        <v>0</v>
      </c>
      <c r="O310">
        <f t="shared" si="26"/>
        <v>1</v>
      </c>
      <c r="P310" s="3">
        <f t="shared" si="27"/>
        <v>0</v>
      </c>
      <c r="Q310" t="str">
        <f t="shared" si="28"/>
        <v>Correct</v>
      </c>
    </row>
    <row r="311" spans="1:17" x14ac:dyDescent="0.3">
      <c r="A311" t="s">
        <v>334</v>
      </c>
      <c r="B311" s="2">
        <v>46267</v>
      </c>
      <c r="C311" s="3">
        <v>1.53</v>
      </c>
      <c r="D311" s="3">
        <v>7.86</v>
      </c>
      <c r="E311" s="3">
        <v>4.28</v>
      </c>
      <c r="F311" s="4">
        <v>1</v>
      </c>
      <c r="G311" s="5">
        <v>32741.17</v>
      </c>
      <c r="H311" t="s">
        <v>13</v>
      </c>
      <c r="I311" t="s">
        <v>26</v>
      </c>
      <c r="J311" t="s">
        <v>18</v>
      </c>
      <c r="L311" s="3">
        <f t="shared" si="29"/>
        <v>13.670000000000002</v>
      </c>
      <c r="M311" s="3">
        <f t="shared" si="24"/>
        <v>13.670000000000002</v>
      </c>
      <c r="N311" t="b">
        <f t="shared" si="25"/>
        <v>0</v>
      </c>
      <c r="O311">
        <f t="shared" si="26"/>
        <v>1</v>
      </c>
      <c r="P311" s="3">
        <f t="shared" si="27"/>
        <v>0</v>
      </c>
      <c r="Q311" t="str">
        <f t="shared" si="28"/>
        <v>Correct</v>
      </c>
    </row>
    <row r="312" spans="1:17" x14ac:dyDescent="0.3">
      <c r="A312" t="s">
        <v>335</v>
      </c>
      <c r="B312" s="2">
        <v>46251</v>
      </c>
      <c r="C312" s="3">
        <v>1.98</v>
      </c>
      <c r="D312" s="3">
        <v>5.07</v>
      </c>
      <c r="E312" s="3">
        <v>7.64</v>
      </c>
      <c r="F312" s="4">
        <v>1</v>
      </c>
      <c r="G312" s="5">
        <v>4753.2700000000004</v>
      </c>
      <c r="H312" t="s">
        <v>24</v>
      </c>
      <c r="I312" t="s">
        <v>17</v>
      </c>
      <c r="J312" t="s">
        <v>21</v>
      </c>
      <c r="K312" t="s">
        <v>163</v>
      </c>
      <c r="L312" s="3">
        <f t="shared" si="29"/>
        <v>14.690000000000001</v>
      </c>
      <c r="M312" s="3">
        <f t="shared" si="24"/>
        <v>14.690000000000001</v>
      </c>
      <c r="N312" t="b">
        <f t="shared" si="25"/>
        <v>0</v>
      </c>
      <c r="O312">
        <f t="shared" si="26"/>
        <v>0</v>
      </c>
      <c r="P312" s="3">
        <f t="shared" si="27"/>
        <v>0</v>
      </c>
      <c r="Q312" t="str">
        <f t="shared" si="28"/>
        <v>Correct</v>
      </c>
    </row>
    <row r="313" spans="1:17" x14ac:dyDescent="0.3">
      <c r="A313" t="s">
        <v>336</v>
      </c>
      <c r="B313" s="2">
        <v>46239</v>
      </c>
      <c r="C313" s="3">
        <v>1.77</v>
      </c>
      <c r="D313" s="3">
        <v>1.88</v>
      </c>
      <c r="E313" s="3">
        <v>0.77</v>
      </c>
      <c r="F313" s="4">
        <v>0</v>
      </c>
      <c r="G313" s="5">
        <v>4405.03</v>
      </c>
      <c r="H313" t="s">
        <v>24</v>
      </c>
      <c r="I313" t="s">
        <v>17</v>
      </c>
      <c r="J313" t="s">
        <v>18</v>
      </c>
      <c r="L313" s="3">
        <f t="shared" si="29"/>
        <v>4.42</v>
      </c>
      <c r="M313" s="3">
        <f t="shared" si="24"/>
        <v>4.42</v>
      </c>
      <c r="N313" t="b">
        <f t="shared" si="25"/>
        <v>0</v>
      </c>
      <c r="O313">
        <f t="shared" si="26"/>
        <v>1</v>
      </c>
      <c r="P313" s="3">
        <f t="shared" si="27"/>
        <v>0</v>
      </c>
      <c r="Q313" t="str">
        <f t="shared" si="28"/>
        <v>Correct</v>
      </c>
    </row>
    <row r="314" spans="1:17" x14ac:dyDescent="0.3">
      <c r="A314" t="s">
        <v>337</v>
      </c>
      <c r="B314" s="2">
        <v>46265</v>
      </c>
      <c r="C314" s="3">
        <v>3.52</v>
      </c>
      <c r="D314" s="3">
        <v>6.52</v>
      </c>
      <c r="E314" s="3">
        <v>2.67</v>
      </c>
      <c r="F314" s="4">
        <v>1</v>
      </c>
      <c r="G314" s="5">
        <v>70205.78</v>
      </c>
      <c r="H314" t="s">
        <v>13</v>
      </c>
      <c r="I314" t="s">
        <v>26</v>
      </c>
      <c r="J314" t="s">
        <v>18</v>
      </c>
      <c r="L314" s="3">
        <f t="shared" si="29"/>
        <v>12.709999999999999</v>
      </c>
      <c r="M314" s="3">
        <f t="shared" si="24"/>
        <v>12.709999999999999</v>
      </c>
      <c r="N314" t="b">
        <f t="shared" si="25"/>
        <v>0</v>
      </c>
      <c r="O314">
        <f t="shared" si="26"/>
        <v>1</v>
      </c>
      <c r="P314" s="3">
        <f t="shared" si="27"/>
        <v>0</v>
      </c>
      <c r="Q314" t="str">
        <f t="shared" si="28"/>
        <v>Correct</v>
      </c>
    </row>
    <row r="315" spans="1:17" x14ac:dyDescent="0.3">
      <c r="A315" t="s">
        <v>338</v>
      </c>
      <c r="B315" s="2">
        <v>46238</v>
      </c>
      <c r="C315" s="3">
        <v>2.8</v>
      </c>
      <c r="D315" s="3">
        <v>6.88</v>
      </c>
      <c r="E315" s="3">
        <v>0.53</v>
      </c>
      <c r="F315" s="4">
        <v>0</v>
      </c>
      <c r="G315" s="5">
        <v>2366.0100000000002</v>
      </c>
      <c r="H315" t="s">
        <v>24</v>
      </c>
      <c r="I315" t="s">
        <v>17</v>
      </c>
      <c r="J315" t="s">
        <v>18</v>
      </c>
      <c r="L315" s="3">
        <f t="shared" si="29"/>
        <v>10.209999999999999</v>
      </c>
      <c r="M315" s="3">
        <f t="shared" si="24"/>
        <v>10.209999999999999</v>
      </c>
      <c r="N315" t="b">
        <f t="shared" si="25"/>
        <v>0</v>
      </c>
      <c r="O315">
        <f t="shared" si="26"/>
        <v>1</v>
      </c>
      <c r="P315" s="3">
        <f t="shared" si="27"/>
        <v>0</v>
      </c>
      <c r="Q315" t="str">
        <f t="shared" si="28"/>
        <v>Correct</v>
      </c>
    </row>
    <row r="316" spans="1:17" x14ac:dyDescent="0.3">
      <c r="A316" t="s">
        <v>339</v>
      </c>
      <c r="B316" s="2">
        <v>46248</v>
      </c>
      <c r="C316" s="3">
        <v>0.65</v>
      </c>
      <c r="D316" s="3">
        <v>6.03</v>
      </c>
      <c r="E316" s="3">
        <v>2.37</v>
      </c>
      <c r="F316" s="4">
        <v>1</v>
      </c>
      <c r="G316" s="5">
        <v>11080.87</v>
      </c>
      <c r="H316" t="s">
        <v>24</v>
      </c>
      <c r="I316" t="s">
        <v>17</v>
      </c>
      <c r="J316" t="s">
        <v>21</v>
      </c>
      <c r="K316" t="s">
        <v>22</v>
      </c>
      <c r="L316" s="3">
        <f t="shared" si="29"/>
        <v>9.0500000000000007</v>
      </c>
      <c r="M316" s="3">
        <f t="shared" si="24"/>
        <v>9.0500000000000007</v>
      </c>
      <c r="N316" t="b">
        <f t="shared" si="25"/>
        <v>0</v>
      </c>
      <c r="O316">
        <f t="shared" si="26"/>
        <v>0</v>
      </c>
      <c r="P316" s="3">
        <f t="shared" si="27"/>
        <v>0</v>
      </c>
      <c r="Q316" t="str">
        <f t="shared" si="28"/>
        <v>Correct</v>
      </c>
    </row>
    <row r="317" spans="1:17" x14ac:dyDescent="0.3">
      <c r="A317" t="s">
        <v>340</v>
      </c>
      <c r="B317" s="2">
        <v>46235</v>
      </c>
      <c r="C317" s="3">
        <v>0.99</v>
      </c>
      <c r="D317" s="3">
        <v>15.52</v>
      </c>
      <c r="E317" s="3">
        <v>5.99</v>
      </c>
      <c r="F317" s="4">
        <v>0</v>
      </c>
      <c r="G317" s="5">
        <v>50996.12</v>
      </c>
      <c r="H317" t="s">
        <v>13</v>
      </c>
      <c r="I317" t="s">
        <v>17</v>
      </c>
      <c r="J317" t="s">
        <v>18</v>
      </c>
      <c r="L317" s="3">
        <f t="shared" si="29"/>
        <v>22.5</v>
      </c>
      <c r="M317" s="3">
        <f t="shared" si="24"/>
        <v>22.5</v>
      </c>
      <c r="N317" t="b">
        <f t="shared" si="25"/>
        <v>0</v>
      </c>
      <c r="O317">
        <f t="shared" si="26"/>
        <v>1</v>
      </c>
      <c r="P317" s="3">
        <f t="shared" si="27"/>
        <v>0</v>
      </c>
      <c r="Q317" t="str">
        <f t="shared" si="28"/>
        <v>Correct</v>
      </c>
    </row>
    <row r="318" spans="1:17" x14ac:dyDescent="0.3">
      <c r="A318" t="s">
        <v>341</v>
      </c>
      <c r="B318" s="2">
        <v>46240</v>
      </c>
      <c r="C318" s="3">
        <v>3.27</v>
      </c>
      <c r="D318" s="3">
        <v>13.08</v>
      </c>
      <c r="E318" s="3">
        <v>4.58</v>
      </c>
      <c r="F318" s="4">
        <v>1</v>
      </c>
      <c r="G318" s="5">
        <v>49288.6</v>
      </c>
      <c r="H318" t="s">
        <v>13</v>
      </c>
      <c r="I318" t="s">
        <v>17</v>
      </c>
      <c r="J318" t="s">
        <v>18</v>
      </c>
      <c r="L318" s="3">
        <f t="shared" si="29"/>
        <v>20.93</v>
      </c>
      <c r="M318" s="3">
        <f t="shared" si="24"/>
        <v>20.93</v>
      </c>
      <c r="N318" t="b">
        <f t="shared" si="25"/>
        <v>0</v>
      </c>
      <c r="O318">
        <f t="shared" si="26"/>
        <v>1</v>
      </c>
      <c r="P318" s="3">
        <f t="shared" si="27"/>
        <v>0</v>
      </c>
      <c r="Q318" t="str">
        <f t="shared" si="28"/>
        <v>Correct</v>
      </c>
    </row>
    <row r="319" spans="1:17" x14ac:dyDescent="0.3">
      <c r="A319" t="s">
        <v>342</v>
      </c>
      <c r="B319" s="2">
        <v>46261</v>
      </c>
      <c r="C319" s="3">
        <v>4.28</v>
      </c>
      <c r="D319" s="3">
        <v>1.18</v>
      </c>
      <c r="E319" s="3">
        <v>3.14</v>
      </c>
      <c r="F319" s="4">
        <v>2</v>
      </c>
      <c r="G319" s="5">
        <v>7544.64</v>
      </c>
      <c r="H319" t="s">
        <v>24</v>
      </c>
      <c r="I319" t="s">
        <v>14</v>
      </c>
      <c r="J319" t="s">
        <v>18</v>
      </c>
      <c r="L319" s="3">
        <f t="shared" si="29"/>
        <v>8.6</v>
      </c>
      <c r="M319" s="3">
        <f t="shared" si="24"/>
        <v>8.6</v>
      </c>
      <c r="N319" t="b">
        <f t="shared" si="25"/>
        <v>0</v>
      </c>
      <c r="O319">
        <f t="shared" si="26"/>
        <v>1</v>
      </c>
      <c r="P319" s="3">
        <f t="shared" si="27"/>
        <v>0</v>
      </c>
      <c r="Q319" t="str">
        <f t="shared" si="28"/>
        <v>Correct</v>
      </c>
    </row>
    <row r="320" spans="1:17" x14ac:dyDescent="0.3">
      <c r="A320" t="s">
        <v>343</v>
      </c>
      <c r="B320" s="2">
        <v>46286</v>
      </c>
      <c r="C320" s="3">
        <v>2</v>
      </c>
      <c r="D320" s="3">
        <v>6.91</v>
      </c>
      <c r="E320" s="3">
        <v>3.16</v>
      </c>
      <c r="F320" s="4">
        <v>1</v>
      </c>
      <c r="G320" s="5">
        <v>14224.43</v>
      </c>
      <c r="H320" t="s">
        <v>24</v>
      </c>
      <c r="I320" t="s">
        <v>17</v>
      </c>
      <c r="J320" t="s">
        <v>18</v>
      </c>
      <c r="L320" s="3">
        <f t="shared" si="29"/>
        <v>12.07</v>
      </c>
      <c r="M320" s="3">
        <f t="shared" si="24"/>
        <v>12.07</v>
      </c>
      <c r="N320" t="b">
        <f t="shared" si="25"/>
        <v>0</v>
      </c>
      <c r="O320">
        <f t="shared" si="26"/>
        <v>1</v>
      </c>
      <c r="P320" s="3">
        <f t="shared" si="27"/>
        <v>0</v>
      </c>
      <c r="Q320" t="str">
        <f t="shared" si="28"/>
        <v>Correct</v>
      </c>
    </row>
    <row r="321" spans="1:17" x14ac:dyDescent="0.3">
      <c r="A321" t="s">
        <v>344</v>
      </c>
      <c r="B321" s="2">
        <v>46281</v>
      </c>
      <c r="C321" s="3">
        <v>4.6399999999999997</v>
      </c>
      <c r="D321" s="3">
        <v>1.46</v>
      </c>
      <c r="E321" s="3">
        <v>5</v>
      </c>
      <c r="F321" s="4">
        <v>0</v>
      </c>
      <c r="G321" s="5">
        <v>7956.13</v>
      </c>
      <c r="H321" t="s">
        <v>24</v>
      </c>
      <c r="I321" t="s">
        <v>20</v>
      </c>
      <c r="J321" t="s">
        <v>18</v>
      </c>
      <c r="L321" s="3">
        <f t="shared" si="29"/>
        <v>11.1</v>
      </c>
      <c r="M321" s="3">
        <f t="shared" si="24"/>
        <v>11.1</v>
      </c>
      <c r="N321" t="b">
        <f t="shared" si="25"/>
        <v>0</v>
      </c>
      <c r="O321">
        <f t="shared" si="26"/>
        <v>1</v>
      </c>
      <c r="P321" s="3">
        <f t="shared" si="27"/>
        <v>0</v>
      </c>
      <c r="Q321" t="str">
        <f t="shared" si="28"/>
        <v>Correct</v>
      </c>
    </row>
    <row r="322" spans="1:17" x14ac:dyDescent="0.3">
      <c r="A322" t="s">
        <v>345</v>
      </c>
      <c r="B322" s="2">
        <v>46240</v>
      </c>
      <c r="C322" s="3">
        <v>1.83</v>
      </c>
      <c r="D322" s="3">
        <v>2.86</v>
      </c>
      <c r="E322" s="3">
        <v>3.43</v>
      </c>
      <c r="F322" s="4">
        <v>1</v>
      </c>
      <c r="G322" s="5">
        <v>10536.09</v>
      </c>
      <c r="H322" t="s">
        <v>24</v>
      </c>
      <c r="I322" t="s">
        <v>20</v>
      </c>
      <c r="J322" t="s">
        <v>18</v>
      </c>
      <c r="L322" s="3">
        <f t="shared" si="29"/>
        <v>8.1199999999999992</v>
      </c>
      <c r="M322" s="3">
        <f t="shared" ref="M322:M385" si="30">SUM(C322:E322)</f>
        <v>8.1199999999999992</v>
      </c>
      <c r="N322" t="b">
        <f t="shared" ref="N322:N385" si="31">COUNTIF(A:A,A322)&gt;1</f>
        <v>0</v>
      </c>
      <c r="O322">
        <f t="shared" ref="O322:O385" si="32">COUNTBLANK(A322:L322)</f>
        <v>1</v>
      </c>
      <c r="P322" s="3">
        <f t="shared" ref="P322:P385" si="33">COUNTBLANK(A322:J322)+COUNTBLANK(L322)</f>
        <v>0</v>
      </c>
      <c r="Q322" t="str">
        <f t="shared" ref="Q322:Q385" si="34">IF(L322=M322,"Correct","Mismatch")</f>
        <v>Correct</v>
      </c>
    </row>
    <row r="323" spans="1:17" x14ac:dyDescent="0.3">
      <c r="A323" t="s">
        <v>346</v>
      </c>
      <c r="B323" s="2">
        <v>46237</v>
      </c>
      <c r="C323" s="3">
        <v>0.76</v>
      </c>
      <c r="D323" s="3">
        <v>2.25</v>
      </c>
      <c r="E323" s="3">
        <v>2.06</v>
      </c>
      <c r="F323" s="4">
        <v>0</v>
      </c>
      <c r="G323" s="5">
        <v>14842.65</v>
      </c>
      <c r="H323" t="s">
        <v>24</v>
      </c>
      <c r="I323" t="s">
        <v>17</v>
      </c>
      <c r="J323" t="s">
        <v>21</v>
      </c>
      <c r="K323" t="s">
        <v>29</v>
      </c>
      <c r="L323" s="3">
        <f t="shared" ref="L323:L386" si="35">SUM(C323:E323)</f>
        <v>5.07</v>
      </c>
      <c r="M323" s="3">
        <f t="shared" si="30"/>
        <v>5.07</v>
      </c>
      <c r="N323" t="b">
        <f t="shared" si="31"/>
        <v>0</v>
      </c>
      <c r="O323">
        <f t="shared" si="32"/>
        <v>0</v>
      </c>
      <c r="P323" s="3">
        <f t="shared" si="33"/>
        <v>0</v>
      </c>
      <c r="Q323" t="str">
        <f t="shared" si="34"/>
        <v>Correct</v>
      </c>
    </row>
    <row r="324" spans="1:17" x14ac:dyDescent="0.3">
      <c r="A324" t="s">
        <v>347</v>
      </c>
      <c r="B324" s="2">
        <v>46255</v>
      </c>
      <c r="C324" s="3">
        <v>2.62</v>
      </c>
      <c r="D324" s="3">
        <v>2.33</v>
      </c>
      <c r="E324" s="3">
        <v>11.34</v>
      </c>
      <c r="F324" s="4">
        <v>1</v>
      </c>
      <c r="G324" s="5">
        <v>7674.01</v>
      </c>
      <c r="H324" t="s">
        <v>24</v>
      </c>
      <c r="I324" t="s">
        <v>17</v>
      </c>
      <c r="J324" t="s">
        <v>18</v>
      </c>
      <c r="L324" s="3">
        <f t="shared" si="35"/>
        <v>16.29</v>
      </c>
      <c r="M324" s="3">
        <f t="shared" si="30"/>
        <v>16.29</v>
      </c>
      <c r="N324" t="b">
        <f t="shared" si="31"/>
        <v>0</v>
      </c>
      <c r="O324">
        <f t="shared" si="32"/>
        <v>1</v>
      </c>
      <c r="P324" s="3">
        <f t="shared" si="33"/>
        <v>0</v>
      </c>
      <c r="Q324" t="str">
        <f t="shared" si="34"/>
        <v>Correct</v>
      </c>
    </row>
    <row r="325" spans="1:17" x14ac:dyDescent="0.3">
      <c r="A325" t="s">
        <v>348</v>
      </c>
      <c r="B325" s="2">
        <v>46274</v>
      </c>
      <c r="C325" s="3">
        <v>9.56</v>
      </c>
      <c r="D325" s="3">
        <v>8.65</v>
      </c>
      <c r="E325" s="3">
        <v>2.21</v>
      </c>
      <c r="F325" s="4">
        <v>0</v>
      </c>
      <c r="G325" s="5">
        <v>17121.759999999998</v>
      </c>
      <c r="H325" t="s">
        <v>24</v>
      </c>
      <c r="I325" t="s">
        <v>17</v>
      </c>
      <c r="J325" t="s">
        <v>15</v>
      </c>
      <c r="L325" s="3">
        <f t="shared" si="35"/>
        <v>20.420000000000002</v>
      </c>
      <c r="M325" s="3">
        <f t="shared" si="30"/>
        <v>20.420000000000002</v>
      </c>
      <c r="N325" t="b">
        <f t="shared" si="31"/>
        <v>0</v>
      </c>
      <c r="O325">
        <f t="shared" si="32"/>
        <v>1</v>
      </c>
      <c r="P325" s="3">
        <f t="shared" si="33"/>
        <v>0</v>
      </c>
      <c r="Q325" t="str">
        <f t="shared" si="34"/>
        <v>Correct</v>
      </c>
    </row>
    <row r="326" spans="1:17" x14ac:dyDescent="0.3">
      <c r="A326" t="s">
        <v>349</v>
      </c>
      <c r="B326" s="2">
        <v>46279</v>
      </c>
      <c r="C326" s="3">
        <v>0.51</v>
      </c>
      <c r="D326" s="3">
        <v>6.61</v>
      </c>
      <c r="E326" s="3">
        <v>1.65</v>
      </c>
      <c r="F326" s="4">
        <v>1</v>
      </c>
      <c r="G326" s="5">
        <v>21771.439999999999</v>
      </c>
      <c r="H326" t="s">
        <v>13</v>
      </c>
      <c r="I326" t="s">
        <v>20</v>
      </c>
      <c r="J326" t="s">
        <v>15</v>
      </c>
      <c r="L326" s="3">
        <f t="shared" si="35"/>
        <v>8.77</v>
      </c>
      <c r="M326" s="3">
        <f t="shared" si="30"/>
        <v>8.77</v>
      </c>
      <c r="N326" t="b">
        <f t="shared" si="31"/>
        <v>0</v>
      </c>
      <c r="O326">
        <f t="shared" si="32"/>
        <v>1</v>
      </c>
      <c r="P326" s="3">
        <f t="shared" si="33"/>
        <v>0</v>
      </c>
      <c r="Q326" t="str">
        <f t="shared" si="34"/>
        <v>Correct</v>
      </c>
    </row>
    <row r="327" spans="1:17" x14ac:dyDescent="0.3">
      <c r="A327" t="s">
        <v>350</v>
      </c>
      <c r="B327" s="2">
        <v>46284</v>
      </c>
      <c r="C327" s="3">
        <v>4.5199999999999996</v>
      </c>
      <c r="D327" s="3">
        <v>3.97</v>
      </c>
      <c r="E327" s="3">
        <v>1.72</v>
      </c>
      <c r="F327" s="4">
        <v>0</v>
      </c>
      <c r="G327" s="5">
        <v>11637.94</v>
      </c>
      <c r="H327" t="s">
        <v>24</v>
      </c>
      <c r="I327" t="s">
        <v>14</v>
      </c>
      <c r="J327" t="s">
        <v>18</v>
      </c>
      <c r="L327" s="3">
        <f t="shared" si="35"/>
        <v>10.210000000000001</v>
      </c>
      <c r="M327" s="3">
        <f t="shared" si="30"/>
        <v>10.210000000000001</v>
      </c>
      <c r="N327" t="b">
        <f t="shared" si="31"/>
        <v>0</v>
      </c>
      <c r="O327">
        <f t="shared" si="32"/>
        <v>1</v>
      </c>
      <c r="P327" s="3">
        <f t="shared" si="33"/>
        <v>0</v>
      </c>
      <c r="Q327" t="str">
        <f t="shared" si="34"/>
        <v>Correct</v>
      </c>
    </row>
    <row r="328" spans="1:17" x14ac:dyDescent="0.3">
      <c r="A328" t="s">
        <v>351</v>
      </c>
      <c r="B328" s="2">
        <v>46255</v>
      </c>
      <c r="C328" s="3">
        <v>2.52</v>
      </c>
      <c r="D328" s="3">
        <v>2.68</v>
      </c>
      <c r="E328" s="3">
        <v>3.21</v>
      </c>
      <c r="F328" s="4">
        <v>1</v>
      </c>
      <c r="G328" s="5">
        <v>16439.66</v>
      </c>
      <c r="H328" t="s">
        <v>24</v>
      </c>
      <c r="I328" t="s">
        <v>20</v>
      </c>
      <c r="J328" t="s">
        <v>15</v>
      </c>
      <c r="L328" s="3">
        <f t="shared" si="35"/>
        <v>8.41</v>
      </c>
      <c r="M328" s="3">
        <f t="shared" si="30"/>
        <v>8.41</v>
      </c>
      <c r="N328" t="b">
        <f t="shared" si="31"/>
        <v>0</v>
      </c>
      <c r="O328">
        <f t="shared" si="32"/>
        <v>1</v>
      </c>
      <c r="P328" s="3">
        <f t="shared" si="33"/>
        <v>0</v>
      </c>
      <c r="Q328" t="str">
        <f t="shared" si="34"/>
        <v>Correct</v>
      </c>
    </row>
    <row r="329" spans="1:17" x14ac:dyDescent="0.3">
      <c r="A329" t="s">
        <v>352</v>
      </c>
      <c r="B329" s="2">
        <v>46245</v>
      </c>
      <c r="C329" s="3">
        <v>0.94</v>
      </c>
      <c r="D329" s="3">
        <v>2.11</v>
      </c>
      <c r="E329" s="3">
        <v>6.83</v>
      </c>
      <c r="F329" s="4">
        <v>1</v>
      </c>
      <c r="G329" s="5">
        <v>14228.76</v>
      </c>
      <c r="H329" t="s">
        <v>24</v>
      </c>
      <c r="I329" t="s">
        <v>17</v>
      </c>
      <c r="J329" t="s">
        <v>18</v>
      </c>
      <c r="L329" s="3">
        <f t="shared" si="35"/>
        <v>9.879999999999999</v>
      </c>
      <c r="M329" s="3">
        <f t="shared" si="30"/>
        <v>9.879999999999999</v>
      </c>
      <c r="N329" t="b">
        <f t="shared" si="31"/>
        <v>0</v>
      </c>
      <c r="O329">
        <f t="shared" si="32"/>
        <v>1</v>
      </c>
      <c r="P329" s="3">
        <f t="shared" si="33"/>
        <v>0</v>
      </c>
      <c r="Q329" t="str">
        <f t="shared" si="34"/>
        <v>Correct</v>
      </c>
    </row>
    <row r="330" spans="1:17" x14ac:dyDescent="0.3">
      <c r="A330" t="s">
        <v>353</v>
      </c>
      <c r="B330" s="2">
        <v>46236</v>
      </c>
      <c r="C330" s="3">
        <v>0.25</v>
      </c>
      <c r="D330" s="3">
        <v>3.88</v>
      </c>
      <c r="E330" s="3">
        <v>3.03</v>
      </c>
      <c r="F330" s="4">
        <v>1</v>
      </c>
      <c r="G330" s="5">
        <v>41370.589999999997</v>
      </c>
      <c r="H330" t="s">
        <v>13</v>
      </c>
      <c r="I330" t="s">
        <v>14</v>
      </c>
      <c r="J330" t="s">
        <v>21</v>
      </c>
      <c r="K330" t="s">
        <v>29</v>
      </c>
      <c r="L330" s="3">
        <f t="shared" si="35"/>
        <v>7.16</v>
      </c>
      <c r="M330" s="3">
        <f t="shared" si="30"/>
        <v>7.16</v>
      </c>
      <c r="N330" t="b">
        <f t="shared" si="31"/>
        <v>0</v>
      </c>
      <c r="O330">
        <f t="shared" si="32"/>
        <v>0</v>
      </c>
      <c r="P330" s="3">
        <f t="shared" si="33"/>
        <v>0</v>
      </c>
      <c r="Q330" t="str">
        <f t="shared" si="34"/>
        <v>Correct</v>
      </c>
    </row>
    <row r="331" spans="1:17" x14ac:dyDescent="0.3">
      <c r="A331" t="s">
        <v>354</v>
      </c>
      <c r="B331" s="2">
        <v>46243</v>
      </c>
      <c r="C331" s="3">
        <v>0.25</v>
      </c>
      <c r="D331" s="3">
        <v>8.1</v>
      </c>
      <c r="E331" s="3">
        <v>1.21</v>
      </c>
      <c r="F331" s="4">
        <v>0</v>
      </c>
      <c r="G331" s="5">
        <v>6503.58</v>
      </c>
      <c r="H331" t="s">
        <v>24</v>
      </c>
      <c r="I331" t="s">
        <v>17</v>
      </c>
      <c r="J331" t="s">
        <v>21</v>
      </c>
      <c r="K331" t="s">
        <v>22</v>
      </c>
      <c r="L331" s="3">
        <f t="shared" si="35"/>
        <v>9.5599999999999987</v>
      </c>
      <c r="M331" s="3">
        <f t="shared" si="30"/>
        <v>9.5599999999999987</v>
      </c>
      <c r="N331" t="b">
        <f t="shared" si="31"/>
        <v>0</v>
      </c>
      <c r="O331">
        <f t="shared" si="32"/>
        <v>0</v>
      </c>
      <c r="P331" s="3">
        <f t="shared" si="33"/>
        <v>0</v>
      </c>
      <c r="Q331" t="str">
        <f t="shared" si="34"/>
        <v>Correct</v>
      </c>
    </row>
    <row r="332" spans="1:17" x14ac:dyDescent="0.3">
      <c r="A332" t="s">
        <v>355</v>
      </c>
      <c r="B332" s="2">
        <v>46238</v>
      </c>
      <c r="C332" s="3">
        <v>1.06</v>
      </c>
      <c r="D332" s="3">
        <v>4.83</v>
      </c>
      <c r="E332" s="3">
        <v>11.58</v>
      </c>
      <c r="F332" s="4">
        <v>2</v>
      </c>
      <c r="G332" s="5">
        <v>4635.3500000000004</v>
      </c>
      <c r="H332" t="s">
        <v>24</v>
      </c>
      <c r="I332" t="s">
        <v>14</v>
      </c>
      <c r="J332" t="s">
        <v>18</v>
      </c>
      <c r="L332" s="3">
        <f t="shared" si="35"/>
        <v>17.47</v>
      </c>
      <c r="M332" s="3">
        <f t="shared" si="30"/>
        <v>17.47</v>
      </c>
      <c r="N332" t="b">
        <f t="shared" si="31"/>
        <v>0</v>
      </c>
      <c r="O332">
        <f t="shared" si="32"/>
        <v>1</v>
      </c>
      <c r="P332" s="3">
        <f t="shared" si="33"/>
        <v>0</v>
      </c>
      <c r="Q332" t="str">
        <f t="shared" si="34"/>
        <v>Correct</v>
      </c>
    </row>
    <row r="333" spans="1:17" x14ac:dyDescent="0.3">
      <c r="A333" t="s">
        <v>356</v>
      </c>
      <c r="B333" s="2">
        <v>46286</v>
      </c>
      <c r="C333" s="3">
        <v>2.23</v>
      </c>
      <c r="D333" s="3">
        <v>9.5</v>
      </c>
      <c r="E333" s="3">
        <v>0.89</v>
      </c>
      <c r="F333" s="4">
        <v>0</v>
      </c>
      <c r="G333" s="5">
        <v>5727.97</v>
      </c>
      <c r="H333" t="s">
        <v>24</v>
      </c>
      <c r="I333" t="s">
        <v>26</v>
      </c>
      <c r="J333" t="s">
        <v>15</v>
      </c>
      <c r="L333" s="3">
        <f t="shared" si="35"/>
        <v>12.620000000000001</v>
      </c>
      <c r="M333" s="3">
        <f t="shared" si="30"/>
        <v>12.620000000000001</v>
      </c>
      <c r="N333" t="b">
        <f t="shared" si="31"/>
        <v>0</v>
      </c>
      <c r="O333">
        <f t="shared" si="32"/>
        <v>1</v>
      </c>
      <c r="P333" s="3">
        <f t="shared" si="33"/>
        <v>0</v>
      </c>
      <c r="Q333" t="str">
        <f t="shared" si="34"/>
        <v>Correct</v>
      </c>
    </row>
    <row r="334" spans="1:17" x14ac:dyDescent="0.3">
      <c r="A334" t="s">
        <v>357</v>
      </c>
      <c r="B334" s="2">
        <v>46251</v>
      </c>
      <c r="C334" s="3">
        <v>3.11</v>
      </c>
      <c r="D334" s="3">
        <v>8.64</v>
      </c>
      <c r="E334" s="3">
        <v>3.29</v>
      </c>
      <c r="F334" s="4">
        <v>1</v>
      </c>
      <c r="G334" s="5">
        <v>14231.93</v>
      </c>
      <c r="H334" t="s">
        <v>24</v>
      </c>
      <c r="I334" t="s">
        <v>14</v>
      </c>
      <c r="J334" t="s">
        <v>18</v>
      </c>
      <c r="L334" s="3">
        <f t="shared" si="35"/>
        <v>15.04</v>
      </c>
      <c r="M334" s="3">
        <f t="shared" si="30"/>
        <v>15.04</v>
      </c>
      <c r="N334" t="b">
        <f t="shared" si="31"/>
        <v>0</v>
      </c>
      <c r="O334">
        <f t="shared" si="32"/>
        <v>1</v>
      </c>
      <c r="P334" s="3">
        <f t="shared" si="33"/>
        <v>0</v>
      </c>
      <c r="Q334" t="str">
        <f t="shared" si="34"/>
        <v>Correct</v>
      </c>
    </row>
    <row r="335" spans="1:17" x14ac:dyDescent="0.3">
      <c r="A335" t="s">
        <v>358</v>
      </c>
      <c r="B335" s="2">
        <v>46284</v>
      </c>
      <c r="C335" s="3">
        <v>3.62</v>
      </c>
      <c r="D335" s="3">
        <v>4.08</v>
      </c>
      <c r="E335" s="3">
        <v>1.04</v>
      </c>
      <c r="F335" s="4">
        <v>0</v>
      </c>
      <c r="G335" s="5">
        <v>13015</v>
      </c>
      <c r="H335" t="s">
        <v>24</v>
      </c>
      <c r="I335" t="s">
        <v>20</v>
      </c>
      <c r="J335" t="s">
        <v>18</v>
      </c>
      <c r="L335" s="3">
        <f t="shared" si="35"/>
        <v>8.74</v>
      </c>
      <c r="M335" s="3">
        <f t="shared" si="30"/>
        <v>8.74</v>
      </c>
      <c r="N335" t="b">
        <f t="shared" si="31"/>
        <v>0</v>
      </c>
      <c r="O335">
        <f t="shared" si="32"/>
        <v>1</v>
      </c>
      <c r="P335" s="3">
        <f t="shared" si="33"/>
        <v>0</v>
      </c>
      <c r="Q335" t="str">
        <f t="shared" si="34"/>
        <v>Correct</v>
      </c>
    </row>
    <row r="336" spans="1:17" x14ac:dyDescent="0.3">
      <c r="A336" t="s">
        <v>359</v>
      </c>
      <c r="B336" s="2">
        <v>46268</v>
      </c>
      <c r="C336" s="3">
        <v>2.09</v>
      </c>
      <c r="D336" s="3">
        <v>3.85</v>
      </c>
      <c r="E336" s="3">
        <v>5.1100000000000003</v>
      </c>
      <c r="F336" s="4">
        <v>0</v>
      </c>
      <c r="G336" s="5">
        <v>49175.73</v>
      </c>
      <c r="H336" t="s">
        <v>13</v>
      </c>
      <c r="I336" t="s">
        <v>26</v>
      </c>
      <c r="J336" t="s">
        <v>18</v>
      </c>
      <c r="L336" s="3">
        <f t="shared" si="35"/>
        <v>11.05</v>
      </c>
      <c r="M336" s="3">
        <f t="shared" si="30"/>
        <v>11.05</v>
      </c>
      <c r="N336" t="b">
        <f t="shared" si="31"/>
        <v>0</v>
      </c>
      <c r="O336">
        <f t="shared" si="32"/>
        <v>1</v>
      </c>
      <c r="P336" s="3">
        <f t="shared" si="33"/>
        <v>0</v>
      </c>
      <c r="Q336" t="str">
        <f t="shared" si="34"/>
        <v>Correct</v>
      </c>
    </row>
    <row r="337" spans="1:17" x14ac:dyDescent="0.3">
      <c r="A337" t="s">
        <v>360</v>
      </c>
      <c r="B337" s="2">
        <v>46267</v>
      </c>
      <c r="C337" s="3">
        <v>1.86</v>
      </c>
      <c r="D337" s="3">
        <v>2.1800000000000002</v>
      </c>
      <c r="E337" s="3">
        <v>5.04</v>
      </c>
      <c r="F337" s="4">
        <v>2</v>
      </c>
      <c r="G337" s="5">
        <v>5336.76</v>
      </c>
      <c r="H337" t="s">
        <v>24</v>
      </c>
      <c r="I337" t="s">
        <v>14</v>
      </c>
      <c r="J337" t="s">
        <v>15</v>
      </c>
      <c r="L337" s="3">
        <f t="shared" si="35"/>
        <v>9.08</v>
      </c>
      <c r="M337" s="3">
        <f t="shared" si="30"/>
        <v>9.08</v>
      </c>
      <c r="N337" t="b">
        <f t="shared" si="31"/>
        <v>0</v>
      </c>
      <c r="O337">
        <f t="shared" si="32"/>
        <v>1</v>
      </c>
      <c r="P337" s="3">
        <f t="shared" si="33"/>
        <v>0</v>
      </c>
      <c r="Q337" t="str">
        <f t="shared" si="34"/>
        <v>Correct</v>
      </c>
    </row>
    <row r="338" spans="1:17" x14ac:dyDescent="0.3">
      <c r="A338" t="s">
        <v>361</v>
      </c>
      <c r="B338" s="2">
        <v>46262</v>
      </c>
      <c r="C338" s="3">
        <v>1.27</v>
      </c>
      <c r="D338" s="3">
        <v>1.49</v>
      </c>
      <c r="E338" s="3">
        <v>1.7</v>
      </c>
      <c r="F338" s="4">
        <v>0</v>
      </c>
      <c r="G338" s="5">
        <v>15338.45</v>
      </c>
      <c r="H338" t="s">
        <v>13</v>
      </c>
      <c r="I338" t="s">
        <v>26</v>
      </c>
      <c r="J338" t="s">
        <v>18</v>
      </c>
      <c r="L338" s="3">
        <f t="shared" si="35"/>
        <v>4.46</v>
      </c>
      <c r="M338" s="3">
        <f t="shared" si="30"/>
        <v>4.46</v>
      </c>
      <c r="N338" t="b">
        <f t="shared" si="31"/>
        <v>0</v>
      </c>
      <c r="O338">
        <f t="shared" si="32"/>
        <v>1</v>
      </c>
      <c r="P338" s="3">
        <f t="shared" si="33"/>
        <v>0</v>
      </c>
      <c r="Q338" t="str">
        <f t="shared" si="34"/>
        <v>Correct</v>
      </c>
    </row>
    <row r="339" spans="1:17" x14ac:dyDescent="0.3">
      <c r="A339" t="s">
        <v>362</v>
      </c>
      <c r="B339" s="2">
        <v>46284</v>
      </c>
      <c r="C339" s="3">
        <v>2.27</v>
      </c>
      <c r="D339" s="3">
        <v>2.16</v>
      </c>
      <c r="E339" s="3">
        <v>2.35</v>
      </c>
      <c r="F339" s="4">
        <v>2</v>
      </c>
      <c r="G339" s="5">
        <v>24382.27</v>
      </c>
      <c r="H339" t="s">
        <v>13</v>
      </c>
      <c r="I339" t="s">
        <v>14</v>
      </c>
      <c r="J339" t="s">
        <v>18</v>
      </c>
      <c r="L339" s="3">
        <f t="shared" si="35"/>
        <v>6.7799999999999994</v>
      </c>
      <c r="M339" s="3">
        <f t="shared" si="30"/>
        <v>6.7799999999999994</v>
      </c>
      <c r="N339" t="b">
        <f t="shared" si="31"/>
        <v>0</v>
      </c>
      <c r="O339">
        <f t="shared" si="32"/>
        <v>1</v>
      </c>
      <c r="P339" s="3">
        <f t="shared" si="33"/>
        <v>0</v>
      </c>
      <c r="Q339" t="str">
        <f t="shared" si="34"/>
        <v>Correct</v>
      </c>
    </row>
    <row r="340" spans="1:17" x14ac:dyDescent="0.3">
      <c r="A340" t="s">
        <v>363</v>
      </c>
      <c r="B340" s="2">
        <v>46237</v>
      </c>
      <c r="C340" s="3">
        <v>0.95</v>
      </c>
      <c r="D340" s="3">
        <v>4.92</v>
      </c>
      <c r="E340" s="3">
        <v>3.69</v>
      </c>
      <c r="F340" s="4">
        <v>0</v>
      </c>
      <c r="G340" s="5">
        <v>18721.400000000001</v>
      </c>
      <c r="H340" t="s">
        <v>24</v>
      </c>
      <c r="I340" t="s">
        <v>26</v>
      </c>
      <c r="J340" t="s">
        <v>18</v>
      </c>
      <c r="L340" s="3">
        <f t="shared" si="35"/>
        <v>9.56</v>
      </c>
      <c r="M340" s="3">
        <f t="shared" si="30"/>
        <v>9.56</v>
      </c>
      <c r="N340" t="b">
        <f t="shared" si="31"/>
        <v>0</v>
      </c>
      <c r="O340">
        <f t="shared" si="32"/>
        <v>1</v>
      </c>
      <c r="P340" s="3">
        <f t="shared" si="33"/>
        <v>0</v>
      </c>
      <c r="Q340" t="str">
        <f t="shared" si="34"/>
        <v>Correct</v>
      </c>
    </row>
    <row r="341" spans="1:17" x14ac:dyDescent="0.3">
      <c r="A341" t="s">
        <v>364</v>
      </c>
      <c r="B341" s="2">
        <v>46240</v>
      </c>
      <c r="C341" s="3">
        <v>0.54</v>
      </c>
      <c r="D341" s="3">
        <v>6.14</v>
      </c>
      <c r="E341" s="3">
        <v>3.16</v>
      </c>
      <c r="F341" s="4">
        <v>0</v>
      </c>
      <c r="G341" s="5">
        <v>47647.77</v>
      </c>
      <c r="H341" t="s">
        <v>24</v>
      </c>
      <c r="I341" t="s">
        <v>20</v>
      </c>
      <c r="J341" t="s">
        <v>18</v>
      </c>
      <c r="L341" s="3">
        <f t="shared" si="35"/>
        <v>9.84</v>
      </c>
      <c r="M341" s="3">
        <f t="shared" si="30"/>
        <v>9.84</v>
      </c>
      <c r="N341" t="b">
        <f t="shared" si="31"/>
        <v>0</v>
      </c>
      <c r="O341">
        <f t="shared" si="32"/>
        <v>1</v>
      </c>
      <c r="P341" s="3">
        <f t="shared" si="33"/>
        <v>0</v>
      </c>
      <c r="Q341" t="str">
        <f t="shared" si="34"/>
        <v>Correct</v>
      </c>
    </row>
    <row r="342" spans="1:17" x14ac:dyDescent="0.3">
      <c r="A342" t="s">
        <v>365</v>
      </c>
      <c r="B342" s="2">
        <v>46260</v>
      </c>
      <c r="C342" s="3">
        <v>1.77</v>
      </c>
      <c r="D342" s="3">
        <v>3.29</v>
      </c>
      <c r="E342" s="3">
        <v>2.33</v>
      </c>
      <c r="F342" s="4">
        <v>0</v>
      </c>
      <c r="G342" s="5">
        <v>12107.11</v>
      </c>
      <c r="H342" t="s">
        <v>24</v>
      </c>
      <c r="I342" t="s">
        <v>26</v>
      </c>
      <c r="J342" t="s">
        <v>18</v>
      </c>
      <c r="L342" s="3">
        <f t="shared" si="35"/>
        <v>7.3900000000000006</v>
      </c>
      <c r="M342" s="3">
        <f t="shared" si="30"/>
        <v>7.3900000000000006</v>
      </c>
      <c r="N342" t="b">
        <f t="shared" si="31"/>
        <v>0</v>
      </c>
      <c r="O342">
        <f t="shared" si="32"/>
        <v>1</v>
      </c>
      <c r="P342" s="3">
        <f t="shared" si="33"/>
        <v>0</v>
      </c>
      <c r="Q342" t="str">
        <f t="shared" si="34"/>
        <v>Correct</v>
      </c>
    </row>
    <row r="343" spans="1:17" x14ac:dyDescent="0.3">
      <c r="A343" t="s">
        <v>366</v>
      </c>
      <c r="B343" s="2">
        <v>46258</v>
      </c>
      <c r="C343" s="3">
        <v>2.94</v>
      </c>
      <c r="D343" s="3">
        <v>21.55</v>
      </c>
      <c r="E343" s="3">
        <v>5.93</v>
      </c>
      <c r="F343" s="4">
        <v>1</v>
      </c>
      <c r="G343" s="5">
        <v>25703.85</v>
      </c>
      <c r="H343" t="s">
        <v>13</v>
      </c>
      <c r="I343" t="s">
        <v>20</v>
      </c>
      <c r="J343" t="s">
        <v>18</v>
      </c>
      <c r="L343" s="3">
        <f t="shared" si="35"/>
        <v>30.42</v>
      </c>
      <c r="M343" s="3">
        <f t="shared" si="30"/>
        <v>30.42</v>
      </c>
      <c r="N343" t="b">
        <f t="shared" si="31"/>
        <v>0</v>
      </c>
      <c r="O343">
        <f t="shared" si="32"/>
        <v>1</v>
      </c>
      <c r="P343" s="3">
        <f t="shared" si="33"/>
        <v>0</v>
      </c>
      <c r="Q343" t="str">
        <f t="shared" si="34"/>
        <v>Correct</v>
      </c>
    </row>
    <row r="344" spans="1:17" x14ac:dyDescent="0.3">
      <c r="A344" t="s">
        <v>367</v>
      </c>
      <c r="B344" s="2">
        <v>46267</v>
      </c>
      <c r="C344" s="3">
        <v>0.43</v>
      </c>
      <c r="D344" s="3">
        <v>1.62</v>
      </c>
      <c r="E344" s="3">
        <v>0.98</v>
      </c>
      <c r="F344" s="4">
        <v>0</v>
      </c>
      <c r="G344" s="5">
        <v>7547.16</v>
      </c>
      <c r="H344" t="s">
        <v>24</v>
      </c>
      <c r="I344" t="s">
        <v>20</v>
      </c>
      <c r="J344" t="s">
        <v>18</v>
      </c>
      <c r="L344" s="3">
        <f t="shared" si="35"/>
        <v>3.0300000000000002</v>
      </c>
      <c r="M344" s="3">
        <f t="shared" si="30"/>
        <v>3.0300000000000002</v>
      </c>
      <c r="N344" t="b">
        <f t="shared" si="31"/>
        <v>0</v>
      </c>
      <c r="O344">
        <f t="shared" si="32"/>
        <v>1</v>
      </c>
      <c r="P344" s="3">
        <f t="shared" si="33"/>
        <v>0</v>
      </c>
      <c r="Q344" t="str">
        <f t="shared" si="34"/>
        <v>Correct</v>
      </c>
    </row>
    <row r="345" spans="1:17" x14ac:dyDescent="0.3">
      <c r="A345" t="s">
        <v>368</v>
      </c>
      <c r="B345" s="2">
        <v>46279</v>
      </c>
      <c r="C345" s="3">
        <v>1.06</v>
      </c>
      <c r="D345" s="3">
        <v>1</v>
      </c>
      <c r="E345" s="3">
        <v>2.04</v>
      </c>
      <c r="F345" s="4">
        <v>1</v>
      </c>
      <c r="G345" s="5">
        <v>3656.94</v>
      </c>
      <c r="H345" t="s">
        <v>24</v>
      </c>
      <c r="I345" t="s">
        <v>14</v>
      </c>
      <c r="J345" t="s">
        <v>18</v>
      </c>
      <c r="L345" s="3">
        <f t="shared" si="35"/>
        <v>4.0999999999999996</v>
      </c>
      <c r="M345" s="3">
        <f t="shared" si="30"/>
        <v>4.0999999999999996</v>
      </c>
      <c r="N345" t="b">
        <f t="shared" si="31"/>
        <v>0</v>
      </c>
      <c r="O345">
        <f t="shared" si="32"/>
        <v>1</v>
      </c>
      <c r="P345" s="3">
        <f t="shared" si="33"/>
        <v>0</v>
      </c>
      <c r="Q345" t="str">
        <f t="shared" si="34"/>
        <v>Correct</v>
      </c>
    </row>
    <row r="346" spans="1:17" x14ac:dyDescent="0.3">
      <c r="A346" t="s">
        <v>369</v>
      </c>
      <c r="B346" s="2">
        <v>46270</v>
      </c>
      <c r="C346" s="3">
        <v>1.72</v>
      </c>
      <c r="D346" s="3">
        <v>15.79</v>
      </c>
      <c r="E346" s="3">
        <v>4.1500000000000004</v>
      </c>
      <c r="F346" s="4">
        <v>0</v>
      </c>
      <c r="G346" s="5">
        <v>7104.65</v>
      </c>
      <c r="H346" t="s">
        <v>24</v>
      </c>
      <c r="I346" t="s">
        <v>20</v>
      </c>
      <c r="J346" t="s">
        <v>15</v>
      </c>
      <c r="L346" s="3">
        <f t="shared" si="35"/>
        <v>21.659999999999997</v>
      </c>
      <c r="M346" s="3">
        <f t="shared" si="30"/>
        <v>21.659999999999997</v>
      </c>
      <c r="N346" t="b">
        <f t="shared" si="31"/>
        <v>0</v>
      </c>
      <c r="O346">
        <f t="shared" si="32"/>
        <v>1</v>
      </c>
      <c r="P346" s="3">
        <f t="shared" si="33"/>
        <v>0</v>
      </c>
      <c r="Q346" t="str">
        <f t="shared" si="34"/>
        <v>Correct</v>
      </c>
    </row>
    <row r="347" spans="1:17" x14ac:dyDescent="0.3">
      <c r="A347" t="s">
        <v>370</v>
      </c>
      <c r="B347" s="2">
        <v>46250</v>
      </c>
      <c r="C347" s="3">
        <v>1.69</v>
      </c>
      <c r="D347" s="3">
        <v>1.65</v>
      </c>
      <c r="E347" s="3">
        <v>4.99</v>
      </c>
      <c r="F347" s="4">
        <v>2</v>
      </c>
      <c r="G347" s="5">
        <v>33516.870000000003</v>
      </c>
      <c r="H347" t="s">
        <v>13</v>
      </c>
      <c r="I347" t="s">
        <v>20</v>
      </c>
      <c r="J347" t="s">
        <v>18</v>
      </c>
      <c r="L347" s="3">
        <f t="shared" si="35"/>
        <v>8.33</v>
      </c>
      <c r="M347" s="3">
        <f t="shared" si="30"/>
        <v>8.33</v>
      </c>
      <c r="N347" t="b">
        <f t="shared" si="31"/>
        <v>0</v>
      </c>
      <c r="O347">
        <f t="shared" si="32"/>
        <v>1</v>
      </c>
      <c r="P347" s="3">
        <f t="shared" si="33"/>
        <v>0</v>
      </c>
      <c r="Q347" t="str">
        <f t="shared" si="34"/>
        <v>Correct</v>
      </c>
    </row>
    <row r="348" spans="1:17" x14ac:dyDescent="0.3">
      <c r="A348" t="s">
        <v>371</v>
      </c>
      <c r="B348" s="2">
        <v>46254</v>
      </c>
      <c r="C348" s="3">
        <v>2.4700000000000002</v>
      </c>
      <c r="D348" s="3">
        <v>3.26</v>
      </c>
      <c r="E348" s="3">
        <v>2.72</v>
      </c>
      <c r="F348" s="4">
        <v>0</v>
      </c>
      <c r="G348" s="5">
        <v>4465.55</v>
      </c>
      <c r="H348" t="s">
        <v>24</v>
      </c>
      <c r="I348" t="s">
        <v>20</v>
      </c>
      <c r="J348" t="s">
        <v>18</v>
      </c>
      <c r="L348" s="3">
        <f t="shared" si="35"/>
        <v>8.4500000000000011</v>
      </c>
      <c r="M348" s="3">
        <f t="shared" si="30"/>
        <v>8.4500000000000011</v>
      </c>
      <c r="N348" t="b">
        <f t="shared" si="31"/>
        <v>0</v>
      </c>
      <c r="O348">
        <f t="shared" si="32"/>
        <v>1</v>
      </c>
      <c r="P348" s="3">
        <f t="shared" si="33"/>
        <v>0</v>
      </c>
      <c r="Q348" t="str">
        <f t="shared" si="34"/>
        <v>Correct</v>
      </c>
    </row>
    <row r="349" spans="1:17" x14ac:dyDescent="0.3">
      <c r="A349" t="s">
        <v>372</v>
      </c>
      <c r="B349" s="2">
        <v>46280</v>
      </c>
      <c r="C349" s="3">
        <v>5.49</v>
      </c>
      <c r="D349" s="3">
        <v>3.15</v>
      </c>
      <c r="E349" s="3">
        <v>11.53</v>
      </c>
      <c r="F349" s="4">
        <v>3</v>
      </c>
      <c r="G349" s="5">
        <v>39220.639999999999</v>
      </c>
      <c r="H349" t="s">
        <v>13</v>
      </c>
      <c r="I349" t="s">
        <v>26</v>
      </c>
      <c r="J349" t="s">
        <v>18</v>
      </c>
      <c r="L349" s="3">
        <f t="shared" si="35"/>
        <v>20.170000000000002</v>
      </c>
      <c r="M349" s="3">
        <f t="shared" si="30"/>
        <v>20.170000000000002</v>
      </c>
      <c r="N349" t="b">
        <f t="shared" si="31"/>
        <v>0</v>
      </c>
      <c r="O349">
        <f t="shared" si="32"/>
        <v>1</v>
      </c>
      <c r="P349" s="3">
        <f t="shared" si="33"/>
        <v>0</v>
      </c>
      <c r="Q349" t="str">
        <f t="shared" si="34"/>
        <v>Correct</v>
      </c>
    </row>
    <row r="350" spans="1:17" x14ac:dyDescent="0.3">
      <c r="A350" t="s">
        <v>373</v>
      </c>
      <c r="B350" s="2">
        <v>46247</v>
      </c>
      <c r="C350" s="3">
        <v>0.25</v>
      </c>
      <c r="D350" s="3">
        <v>5.17</v>
      </c>
      <c r="E350" s="3">
        <v>6.53</v>
      </c>
      <c r="F350" s="4">
        <v>1</v>
      </c>
      <c r="G350" s="5">
        <v>11499.68</v>
      </c>
      <c r="H350" t="s">
        <v>24</v>
      </c>
      <c r="I350" t="s">
        <v>14</v>
      </c>
      <c r="J350" t="s">
        <v>18</v>
      </c>
      <c r="L350" s="3">
        <f t="shared" si="35"/>
        <v>11.95</v>
      </c>
      <c r="M350" s="3">
        <f t="shared" si="30"/>
        <v>11.95</v>
      </c>
      <c r="N350" t="b">
        <f t="shared" si="31"/>
        <v>0</v>
      </c>
      <c r="O350">
        <f t="shared" si="32"/>
        <v>1</v>
      </c>
      <c r="P350" s="3">
        <f t="shared" si="33"/>
        <v>0</v>
      </c>
      <c r="Q350" t="str">
        <f t="shared" si="34"/>
        <v>Correct</v>
      </c>
    </row>
    <row r="351" spans="1:17" x14ac:dyDescent="0.3">
      <c r="A351" t="s">
        <v>374</v>
      </c>
      <c r="B351" s="2">
        <v>46265</v>
      </c>
      <c r="C351" s="3">
        <v>5.65</v>
      </c>
      <c r="D351" s="3">
        <v>4.16</v>
      </c>
      <c r="E351" s="3">
        <v>2.6</v>
      </c>
      <c r="F351" s="4">
        <v>1</v>
      </c>
      <c r="G351" s="5">
        <v>19326.689999999999</v>
      </c>
      <c r="H351" t="s">
        <v>13</v>
      </c>
      <c r="I351" t="s">
        <v>26</v>
      </c>
      <c r="J351" t="s">
        <v>18</v>
      </c>
      <c r="L351" s="3">
        <f t="shared" si="35"/>
        <v>12.41</v>
      </c>
      <c r="M351" s="3">
        <f t="shared" si="30"/>
        <v>12.41</v>
      </c>
      <c r="N351" t="b">
        <f t="shared" si="31"/>
        <v>0</v>
      </c>
      <c r="O351">
        <f t="shared" si="32"/>
        <v>1</v>
      </c>
      <c r="P351" s="3">
        <f t="shared" si="33"/>
        <v>0</v>
      </c>
      <c r="Q351" t="str">
        <f t="shared" si="34"/>
        <v>Correct</v>
      </c>
    </row>
    <row r="352" spans="1:17" x14ac:dyDescent="0.3">
      <c r="A352" t="s">
        <v>375</v>
      </c>
      <c r="B352" s="2">
        <v>46267</v>
      </c>
      <c r="C352" s="3">
        <v>5.32</v>
      </c>
      <c r="D352" s="3">
        <v>6.16</v>
      </c>
      <c r="E352" s="3">
        <v>2.2200000000000002</v>
      </c>
      <c r="F352" s="4">
        <v>1</v>
      </c>
      <c r="G352" s="5">
        <v>8350.17</v>
      </c>
      <c r="H352" t="s">
        <v>24</v>
      </c>
      <c r="I352" t="s">
        <v>14</v>
      </c>
      <c r="J352" t="s">
        <v>15</v>
      </c>
      <c r="L352" s="3">
        <f t="shared" si="35"/>
        <v>13.700000000000001</v>
      </c>
      <c r="M352" s="3">
        <f t="shared" si="30"/>
        <v>13.700000000000001</v>
      </c>
      <c r="N352" t="b">
        <f t="shared" si="31"/>
        <v>0</v>
      </c>
      <c r="O352">
        <f t="shared" si="32"/>
        <v>1</v>
      </c>
      <c r="P352" s="3">
        <f t="shared" si="33"/>
        <v>0</v>
      </c>
      <c r="Q352" t="str">
        <f t="shared" si="34"/>
        <v>Correct</v>
      </c>
    </row>
    <row r="353" spans="1:17" x14ac:dyDescent="0.3">
      <c r="A353" t="s">
        <v>376</v>
      </c>
      <c r="B353" s="2">
        <v>46280</v>
      </c>
      <c r="C353" s="3">
        <v>3.14</v>
      </c>
      <c r="D353" s="3">
        <v>7.06</v>
      </c>
      <c r="E353" s="3">
        <v>3.47</v>
      </c>
      <c r="F353" s="4">
        <v>0</v>
      </c>
      <c r="G353" s="5">
        <v>8999.4699999999993</v>
      </c>
      <c r="H353" t="s">
        <v>24</v>
      </c>
      <c r="I353" t="s">
        <v>26</v>
      </c>
      <c r="J353" t="s">
        <v>18</v>
      </c>
      <c r="L353" s="3">
        <f t="shared" si="35"/>
        <v>13.67</v>
      </c>
      <c r="M353" s="3">
        <f t="shared" si="30"/>
        <v>13.67</v>
      </c>
      <c r="N353" t="b">
        <f t="shared" si="31"/>
        <v>0</v>
      </c>
      <c r="O353">
        <f t="shared" si="32"/>
        <v>1</v>
      </c>
      <c r="P353" s="3">
        <f t="shared" si="33"/>
        <v>0</v>
      </c>
      <c r="Q353" t="str">
        <f t="shared" si="34"/>
        <v>Correct</v>
      </c>
    </row>
    <row r="354" spans="1:17" x14ac:dyDescent="0.3">
      <c r="A354" t="s">
        <v>377</v>
      </c>
      <c r="B354" s="2">
        <v>46277</v>
      </c>
      <c r="C354" s="3">
        <v>1.97</v>
      </c>
      <c r="D354" s="3">
        <v>1.47</v>
      </c>
      <c r="E354" s="3">
        <v>5.98</v>
      </c>
      <c r="F354" s="4">
        <v>0</v>
      </c>
      <c r="G354" s="5">
        <v>19150.599999999999</v>
      </c>
      <c r="H354" t="s">
        <v>13</v>
      </c>
      <c r="I354" t="s">
        <v>14</v>
      </c>
      <c r="J354" t="s">
        <v>18</v>
      </c>
      <c r="L354" s="3">
        <f t="shared" si="35"/>
        <v>9.42</v>
      </c>
      <c r="M354" s="3">
        <f t="shared" si="30"/>
        <v>9.42</v>
      </c>
      <c r="N354" t="b">
        <f t="shared" si="31"/>
        <v>0</v>
      </c>
      <c r="O354">
        <f t="shared" si="32"/>
        <v>1</v>
      </c>
      <c r="P354" s="3">
        <f t="shared" si="33"/>
        <v>0</v>
      </c>
      <c r="Q354" t="str">
        <f t="shared" si="34"/>
        <v>Correct</v>
      </c>
    </row>
    <row r="355" spans="1:17" x14ac:dyDescent="0.3">
      <c r="A355" t="s">
        <v>378</v>
      </c>
      <c r="B355" s="2">
        <v>46262</v>
      </c>
      <c r="C355" s="3">
        <v>0.97</v>
      </c>
      <c r="D355" s="3">
        <v>2.87</v>
      </c>
      <c r="E355" s="3">
        <v>0.45</v>
      </c>
      <c r="F355" s="4">
        <v>0</v>
      </c>
      <c r="G355" s="5">
        <v>39701.040000000001</v>
      </c>
      <c r="H355" t="s">
        <v>13</v>
      </c>
      <c r="I355" t="s">
        <v>14</v>
      </c>
      <c r="J355" t="s">
        <v>18</v>
      </c>
      <c r="L355" s="3">
        <f t="shared" si="35"/>
        <v>4.29</v>
      </c>
      <c r="M355" s="3">
        <f t="shared" si="30"/>
        <v>4.29</v>
      </c>
      <c r="N355" t="b">
        <f t="shared" si="31"/>
        <v>0</v>
      </c>
      <c r="O355">
        <f t="shared" si="32"/>
        <v>1</v>
      </c>
      <c r="P355" s="3">
        <f t="shared" si="33"/>
        <v>0</v>
      </c>
      <c r="Q355" t="str">
        <f t="shared" si="34"/>
        <v>Correct</v>
      </c>
    </row>
    <row r="356" spans="1:17" x14ac:dyDescent="0.3">
      <c r="A356" t="s">
        <v>379</v>
      </c>
      <c r="B356" s="2">
        <v>46253</v>
      </c>
      <c r="C356" s="3">
        <v>3.12</v>
      </c>
      <c r="D356" s="3">
        <v>10.74</v>
      </c>
      <c r="E356" s="3">
        <v>3.29</v>
      </c>
      <c r="F356" s="4">
        <v>0</v>
      </c>
      <c r="G356" s="5">
        <v>13251.71</v>
      </c>
      <c r="H356" t="s">
        <v>24</v>
      </c>
      <c r="I356" t="s">
        <v>17</v>
      </c>
      <c r="J356" t="s">
        <v>18</v>
      </c>
      <c r="L356" s="3">
        <f t="shared" si="35"/>
        <v>17.149999999999999</v>
      </c>
      <c r="M356" s="3">
        <f t="shared" si="30"/>
        <v>17.149999999999999</v>
      </c>
      <c r="N356" t="b">
        <f t="shared" si="31"/>
        <v>0</v>
      </c>
      <c r="O356">
        <f t="shared" si="32"/>
        <v>1</v>
      </c>
      <c r="P356" s="3">
        <f t="shared" si="33"/>
        <v>0</v>
      </c>
      <c r="Q356" t="str">
        <f t="shared" si="34"/>
        <v>Correct</v>
      </c>
    </row>
    <row r="357" spans="1:17" x14ac:dyDescent="0.3">
      <c r="A357" t="s">
        <v>380</v>
      </c>
      <c r="B357" s="2">
        <v>46257</v>
      </c>
      <c r="C357" s="3">
        <v>2.0499999999999998</v>
      </c>
      <c r="D357" s="3">
        <v>13.19</v>
      </c>
      <c r="E357" s="3">
        <v>2.0299999999999998</v>
      </c>
      <c r="F357" s="4">
        <v>0</v>
      </c>
      <c r="G357" s="5">
        <v>8885.69</v>
      </c>
      <c r="H357" t="s">
        <v>24</v>
      </c>
      <c r="I357" t="s">
        <v>17</v>
      </c>
      <c r="J357" t="s">
        <v>18</v>
      </c>
      <c r="L357" s="3">
        <f t="shared" si="35"/>
        <v>17.27</v>
      </c>
      <c r="M357" s="3">
        <f t="shared" si="30"/>
        <v>17.27</v>
      </c>
      <c r="N357" t="b">
        <f t="shared" si="31"/>
        <v>0</v>
      </c>
      <c r="O357">
        <f t="shared" si="32"/>
        <v>1</v>
      </c>
      <c r="P357" s="3">
        <f t="shared" si="33"/>
        <v>0</v>
      </c>
      <c r="Q357" t="str">
        <f t="shared" si="34"/>
        <v>Correct</v>
      </c>
    </row>
    <row r="358" spans="1:17" x14ac:dyDescent="0.3">
      <c r="A358" t="s">
        <v>381</v>
      </c>
      <c r="B358" s="2">
        <v>46259</v>
      </c>
      <c r="C358" s="3">
        <v>1.3</v>
      </c>
      <c r="D358" s="3">
        <v>6.14</v>
      </c>
      <c r="E358" s="3">
        <v>5.27</v>
      </c>
      <c r="F358" s="4">
        <v>1</v>
      </c>
      <c r="G358" s="5">
        <v>36820.9</v>
      </c>
      <c r="H358" t="s">
        <v>13</v>
      </c>
      <c r="I358" t="s">
        <v>14</v>
      </c>
      <c r="J358" t="s">
        <v>18</v>
      </c>
      <c r="L358" s="3">
        <f t="shared" si="35"/>
        <v>12.709999999999999</v>
      </c>
      <c r="M358" s="3">
        <f t="shared" si="30"/>
        <v>12.709999999999999</v>
      </c>
      <c r="N358" t="b">
        <f t="shared" si="31"/>
        <v>0</v>
      </c>
      <c r="O358">
        <f t="shared" si="32"/>
        <v>1</v>
      </c>
      <c r="P358" s="3">
        <f t="shared" si="33"/>
        <v>0</v>
      </c>
      <c r="Q358" t="str">
        <f t="shared" si="34"/>
        <v>Correct</v>
      </c>
    </row>
    <row r="359" spans="1:17" x14ac:dyDescent="0.3">
      <c r="A359" t="s">
        <v>382</v>
      </c>
      <c r="B359" s="2">
        <v>46248</v>
      </c>
      <c r="C359" s="3">
        <v>3.06</v>
      </c>
      <c r="D359" s="3">
        <v>7.33</v>
      </c>
      <c r="E359" s="3">
        <v>3.11</v>
      </c>
      <c r="F359" s="4">
        <v>2</v>
      </c>
      <c r="G359" s="5">
        <v>32177.9</v>
      </c>
      <c r="H359" t="s">
        <v>13</v>
      </c>
      <c r="I359" t="s">
        <v>20</v>
      </c>
      <c r="J359" t="s">
        <v>18</v>
      </c>
      <c r="L359" s="3">
        <f t="shared" si="35"/>
        <v>13.5</v>
      </c>
      <c r="M359" s="3">
        <f t="shared" si="30"/>
        <v>13.5</v>
      </c>
      <c r="N359" t="b">
        <f t="shared" si="31"/>
        <v>0</v>
      </c>
      <c r="O359">
        <f t="shared" si="32"/>
        <v>1</v>
      </c>
      <c r="P359" s="3">
        <f t="shared" si="33"/>
        <v>0</v>
      </c>
      <c r="Q359" t="str">
        <f t="shared" si="34"/>
        <v>Correct</v>
      </c>
    </row>
    <row r="360" spans="1:17" x14ac:dyDescent="0.3">
      <c r="A360" t="s">
        <v>383</v>
      </c>
      <c r="B360" s="2">
        <v>46272</v>
      </c>
      <c r="C360" s="3">
        <v>3.44</v>
      </c>
      <c r="D360" s="3">
        <v>16.309999999999999</v>
      </c>
      <c r="E360" s="3">
        <v>7.92</v>
      </c>
      <c r="F360" s="4">
        <v>1</v>
      </c>
      <c r="G360" s="5">
        <v>3335.03</v>
      </c>
      <c r="H360" t="s">
        <v>24</v>
      </c>
      <c r="I360" t="s">
        <v>17</v>
      </c>
      <c r="J360" t="s">
        <v>21</v>
      </c>
      <c r="K360" t="s">
        <v>29</v>
      </c>
      <c r="L360" s="3">
        <f t="shared" si="35"/>
        <v>27.67</v>
      </c>
      <c r="M360" s="3">
        <f t="shared" si="30"/>
        <v>27.67</v>
      </c>
      <c r="N360" t="b">
        <f t="shared" si="31"/>
        <v>0</v>
      </c>
      <c r="O360">
        <f t="shared" si="32"/>
        <v>0</v>
      </c>
      <c r="P360" s="3">
        <f t="shared" si="33"/>
        <v>0</v>
      </c>
      <c r="Q360" t="str">
        <f t="shared" si="34"/>
        <v>Correct</v>
      </c>
    </row>
    <row r="361" spans="1:17" x14ac:dyDescent="0.3">
      <c r="A361" t="s">
        <v>384</v>
      </c>
      <c r="B361" s="2">
        <v>46247</v>
      </c>
      <c r="C361" s="3">
        <v>4.26</v>
      </c>
      <c r="D361" s="3">
        <v>3.11</v>
      </c>
      <c r="E361" s="3">
        <v>7.1</v>
      </c>
      <c r="F361" s="4">
        <v>0</v>
      </c>
      <c r="G361" s="5">
        <v>8571.01</v>
      </c>
      <c r="H361" t="s">
        <v>24</v>
      </c>
      <c r="I361" t="s">
        <v>14</v>
      </c>
      <c r="J361" t="s">
        <v>18</v>
      </c>
      <c r="L361" s="3">
        <f t="shared" si="35"/>
        <v>14.469999999999999</v>
      </c>
      <c r="M361" s="3">
        <f t="shared" si="30"/>
        <v>14.469999999999999</v>
      </c>
      <c r="N361" t="b">
        <f t="shared" si="31"/>
        <v>0</v>
      </c>
      <c r="O361">
        <f t="shared" si="32"/>
        <v>1</v>
      </c>
      <c r="P361" s="3">
        <f t="shared" si="33"/>
        <v>0</v>
      </c>
      <c r="Q361" t="str">
        <f t="shared" si="34"/>
        <v>Correct</v>
      </c>
    </row>
    <row r="362" spans="1:17" x14ac:dyDescent="0.3">
      <c r="A362" t="s">
        <v>385</v>
      </c>
      <c r="B362" s="2">
        <v>46273</v>
      </c>
      <c r="C362" s="3">
        <v>0.87</v>
      </c>
      <c r="D362" s="3">
        <v>6.1</v>
      </c>
      <c r="E362" s="3">
        <v>5.75</v>
      </c>
      <c r="F362" s="4">
        <v>1</v>
      </c>
      <c r="G362" s="5">
        <v>16326.1</v>
      </c>
      <c r="H362" t="s">
        <v>13</v>
      </c>
      <c r="I362" t="s">
        <v>20</v>
      </c>
      <c r="J362" t="s">
        <v>18</v>
      </c>
      <c r="L362" s="3">
        <f t="shared" si="35"/>
        <v>12.719999999999999</v>
      </c>
      <c r="M362" s="3">
        <f t="shared" si="30"/>
        <v>12.719999999999999</v>
      </c>
      <c r="N362" t="b">
        <f t="shared" si="31"/>
        <v>0</v>
      </c>
      <c r="O362">
        <f t="shared" si="32"/>
        <v>1</v>
      </c>
      <c r="P362" s="3">
        <f t="shared" si="33"/>
        <v>0</v>
      </c>
      <c r="Q362" t="str">
        <f t="shared" si="34"/>
        <v>Correct</v>
      </c>
    </row>
    <row r="363" spans="1:17" x14ac:dyDescent="0.3">
      <c r="A363" t="s">
        <v>386</v>
      </c>
      <c r="B363" s="2">
        <v>46280</v>
      </c>
      <c r="C363" s="3">
        <v>3.89</v>
      </c>
      <c r="D363" s="3">
        <v>11.68</v>
      </c>
      <c r="E363" s="3">
        <v>8.08</v>
      </c>
      <c r="F363" s="4">
        <v>0</v>
      </c>
      <c r="G363" s="5">
        <v>18136.57</v>
      </c>
      <c r="H363" t="s">
        <v>13</v>
      </c>
      <c r="I363" t="s">
        <v>26</v>
      </c>
      <c r="J363" t="s">
        <v>21</v>
      </c>
      <c r="K363" t="s">
        <v>163</v>
      </c>
      <c r="L363" s="3">
        <f t="shared" si="35"/>
        <v>23.65</v>
      </c>
      <c r="M363" s="3">
        <f t="shared" si="30"/>
        <v>23.65</v>
      </c>
      <c r="N363" t="b">
        <f t="shared" si="31"/>
        <v>0</v>
      </c>
      <c r="O363">
        <f t="shared" si="32"/>
        <v>0</v>
      </c>
      <c r="P363" s="3">
        <f t="shared" si="33"/>
        <v>0</v>
      </c>
      <c r="Q363" t="str">
        <f t="shared" si="34"/>
        <v>Correct</v>
      </c>
    </row>
    <row r="364" spans="1:17" x14ac:dyDescent="0.3">
      <c r="A364" t="s">
        <v>387</v>
      </c>
      <c r="B364" s="2">
        <v>46292</v>
      </c>
      <c r="C364" s="3">
        <v>1.32</v>
      </c>
      <c r="D364" s="3">
        <v>12.15</v>
      </c>
      <c r="E364" s="3">
        <v>1.95</v>
      </c>
      <c r="F364" s="4">
        <v>0</v>
      </c>
      <c r="G364" s="5">
        <v>36907.980000000003</v>
      </c>
      <c r="H364" t="s">
        <v>13</v>
      </c>
      <c r="I364" t="s">
        <v>26</v>
      </c>
      <c r="J364" t="s">
        <v>18</v>
      </c>
      <c r="L364" s="3">
        <f t="shared" si="35"/>
        <v>15.42</v>
      </c>
      <c r="M364" s="3">
        <f t="shared" si="30"/>
        <v>15.42</v>
      </c>
      <c r="N364" t="b">
        <f t="shared" si="31"/>
        <v>0</v>
      </c>
      <c r="O364">
        <f t="shared" si="32"/>
        <v>1</v>
      </c>
      <c r="P364" s="3">
        <f t="shared" si="33"/>
        <v>0</v>
      </c>
      <c r="Q364" t="str">
        <f t="shared" si="34"/>
        <v>Correct</v>
      </c>
    </row>
    <row r="365" spans="1:17" x14ac:dyDescent="0.3">
      <c r="A365" t="s">
        <v>388</v>
      </c>
      <c r="B365" s="2">
        <v>46242</v>
      </c>
      <c r="C365" s="3">
        <v>1.98</v>
      </c>
      <c r="D365" s="3">
        <v>3.76</v>
      </c>
      <c r="E365" s="3">
        <v>3.23</v>
      </c>
      <c r="F365" s="4">
        <v>0</v>
      </c>
      <c r="G365" s="5">
        <v>10194.09</v>
      </c>
      <c r="H365" t="s">
        <v>24</v>
      </c>
      <c r="I365" t="s">
        <v>26</v>
      </c>
      <c r="J365" t="s">
        <v>18</v>
      </c>
      <c r="L365" s="3">
        <f t="shared" si="35"/>
        <v>8.9700000000000006</v>
      </c>
      <c r="M365" s="3">
        <f t="shared" si="30"/>
        <v>8.9700000000000006</v>
      </c>
      <c r="N365" t="b">
        <f t="shared" si="31"/>
        <v>0</v>
      </c>
      <c r="O365">
        <f t="shared" si="32"/>
        <v>1</v>
      </c>
      <c r="P365" s="3">
        <f t="shared" si="33"/>
        <v>0</v>
      </c>
      <c r="Q365" t="str">
        <f t="shared" si="34"/>
        <v>Correct</v>
      </c>
    </row>
    <row r="366" spans="1:17" x14ac:dyDescent="0.3">
      <c r="A366" t="s">
        <v>389</v>
      </c>
      <c r="B366" s="2">
        <v>46280</v>
      </c>
      <c r="C366" s="3">
        <v>2.27</v>
      </c>
      <c r="D366" s="3">
        <v>2.1800000000000002</v>
      </c>
      <c r="E366" s="3">
        <v>4.3899999999999997</v>
      </c>
      <c r="F366" s="4">
        <v>0</v>
      </c>
      <c r="G366" s="5">
        <v>3023.58</v>
      </c>
      <c r="H366" t="s">
        <v>24</v>
      </c>
      <c r="I366" t="s">
        <v>14</v>
      </c>
      <c r="J366" t="s">
        <v>21</v>
      </c>
      <c r="K366" t="s">
        <v>29</v>
      </c>
      <c r="L366" s="3">
        <f t="shared" si="35"/>
        <v>8.84</v>
      </c>
      <c r="M366" s="3">
        <f t="shared" si="30"/>
        <v>8.84</v>
      </c>
      <c r="N366" t="b">
        <f t="shared" si="31"/>
        <v>0</v>
      </c>
      <c r="O366">
        <f t="shared" si="32"/>
        <v>0</v>
      </c>
      <c r="P366" s="3">
        <f t="shared" si="33"/>
        <v>0</v>
      </c>
      <c r="Q366" t="str">
        <f t="shared" si="34"/>
        <v>Correct</v>
      </c>
    </row>
    <row r="367" spans="1:17" x14ac:dyDescent="0.3">
      <c r="A367" t="s">
        <v>390</v>
      </c>
      <c r="B367" s="2">
        <v>46240</v>
      </c>
      <c r="C367" s="3">
        <v>3.68</v>
      </c>
      <c r="D367" s="3">
        <v>8.32</v>
      </c>
      <c r="E367" s="3">
        <v>3.51</v>
      </c>
      <c r="F367" s="4">
        <v>0</v>
      </c>
      <c r="G367" s="5">
        <v>43921.08</v>
      </c>
      <c r="H367" t="s">
        <v>13</v>
      </c>
      <c r="I367" t="s">
        <v>17</v>
      </c>
      <c r="J367" t="s">
        <v>21</v>
      </c>
      <c r="K367" t="s">
        <v>22</v>
      </c>
      <c r="L367" s="3">
        <f t="shared" si="35"/>
        <v>15.51</v>
      </c>
      <c r="M367" s="3">
        <f t="shared" si="30"/>
        <v>15.51</v>
      </c>
      <c r="N367" t="b">
        <f t="shared" si="31"/>
        <v>0</v>
      </c>
      <c r="O367">
        <f t="shared" si="32"/>
        <v>0</v>
      </c>
      <c r="P367" s="3">
        <f t="shared" si="33"/>
        <v>0</v>
      </c>
      <c r="Q367" t="str">
        <f t="shared" si="34"/>
        <v>Correct</v>
      </c>
    </row>
    <row r="368" spans="1:17" x14ac:dyDescent="0.3">
      <c r="A368" t="s">
        <v>391</v>
      </c>
      <c r="B368" s="2">
        <v>46255</v>
      </c>
      <c r="C368" s="3">
        <v>2.84</v>
      </c>
      <c r="D368" s="3">
        <v>5.39</v>
      </c>
      <c r="E368" s="3">
        <v>2.16</v>
      </c>
      <c r="F368" s="4">
        <v>0</v>
      </c>
      <c r="G368" s="5">
        <v>69863.039999999994</v>
      </c>
      <c r="H368" t="s">
        <v>13</v>
      </c>
      <c r="I368" t="s">
        <v>14</v>
      </c>
      <c r="J368" t="s">
        <v>18</v>
      </c>
      <c r="L368" s="3">
        <f t="shared" si="35"/>
        <v>10.39</v>
      </c>
      <c r="M368" s="3">
        <f t="shared" si="30"/>
        <v>10.39</v>
      </c>
      <c r="N368" t="b">
        <f t="shared" si="31"/>
        <v>0</v>
      </c>
      <c r="O368">
        <f t="shared" si="32"/>
        <v>1</v>
      </c>
      <c r="P368" s="3">
        <f t="shared" si="33"/>
        <v>0</v>
      </c>
      <c r="Q368" t="str">
        <f t="shared" si="34"/>
        <v>Correct</v>
      </c>
    </row>
    <row r="369" spans="1:17" x14ac:dyDescent="0.3">
      <c r="A369" t="s">
        <v>392</v>
      </c>
      <c r="B369" s="2">
        <v>46245</v>
      </c>
      <c r="C369" s="3">
        <v>1.28</v>
      </c>
      <c r="D369" s="3">
        <v>2.86</v>
      </c>
      <c r="E369" s="3">
        <v>3.48</v>
      </c>
      <c r="F369" s="4">
        <v>1</v>
      </c>
      <c r="G369" s="5">
        <v>33384.129999999997</v>
      </c>
      <c r="H369" t="s">
        <v>13</v>
      </c>
      <c r="I369" t="s">
        <v>14</v>
      </c>
      <c r="J369" t="s">
        <v>18</v>
      </c>
      <c r="L369" s="3">
        <f t="shared" si="35"/>
        <v>7.6199999999999992</v>
      </c>
      <c r="M369" s="3">
        <f t="shared" si="30"/>
        <v>7.6199999999999992</v>
      </c>
      <c r="N369" t="b">
        <f t="shared" si="31"/>
        <v>0</v>
      </c>
      <c r="O369">
        <f t="shared" si="32"/>
        <v>1</v>
      </c>
      <c r="P369" s="3">
        <f t="shared" si="33"/>
        <v>0</v>
      </c>
      <c r="Q369" t="str">
        <f t="shared" si="34"/>
        <v>Correct</v>
      </c>
    </row>
    <row r="370" spans="1:17" x14ac:dyDescent="0.3">
      <c r="A370" t="s">
        <v>393</v>
      </c>
      <c r="B370" s="2">
        <v>46244</v>
      </c>
      <c r="C370" s="3">
        <v>0.25</v>
      </c>
      <c r="D370" s="3">
        <v>3.92</v>
      </c>
      <c r="E370" s="3">
        <v>6.67</v>
      </c>
      <c r="F370" s="4">
        <v>0</v>
      </c>
      <c r="G370" s="5">
        <v>5247.35</v>
      </c>
      <c r="H370" t="s">
        <v>24</v>
      </c>
      <c r="I370" t="s">
        <v>17</v>
      </c>
      <c r="J370" t="s">
        <v>18</v>
      </c>
      <c r="L370" s="3">
        <f t="shared" si="35"/>
        <v>10.84</v>
      </c>
      <c r="M370" s="3">
        <f t="shared" si="30"/>
        <v>10.84</v>
      </c>
      <c r="N370" t="b">
        <f t="shared" si="31"/>
        <v>0</v>
      </c>
      <c r="O370">
        <f t="shared" si="32"/>
        <v>1</v>
      </c>
      <c r="P370" s="3">
        <f t="shared" si="33"/>
        <v>0</v>
      </c>
      <c r="Q370" t="str">
        <f t="shared" si="34"/>
        <v>Correct</v>
      </c>
    </row>
    <row r="371" spans="1:17" x14ac:dyDescent="0.3">
      <c r="A371" t="s">
        <v>394</v>
      </c>
      <c r="B371" s="2">
        <v>46245</v>
      </c>
      <c r="C371" s="3">
        <v>2.4500000000000002</v>
      </c>
      <c r="D371" s="3">
        <v>9.01</v>
      </c>
      <c r="E371" s="3">
        <v>4.4400000000000004</v>
      </c>
      <c r="F371" s="4">
        <v>1</v>
      </c>
      <c r="G371" s="5">
        <v>10798.33</v>
      </c>
      <c r="H371" t="s">
        <v>24</v>
      </c>
      <c r="I371" t="s">
        <v>20</v>
      </c>
      <c r="J371" t="s">
        <v>18</v>
      </c>
      <c r="L371" s="3">
        <f t="shared" si="35"/>
        <v>15.900000000000002</v>
      </c>
      <c r="M371" s="3">
        <f t="shared" si="30"/>
        <v>15.900000000000002</v>
      </c>
      <c r="N371" t="b">
        <f t="shared" si="31"/>
        <v>0</v>
      </c>
      <c r="O371">
        <f t="shared" si="32"/>
        <v>1</v>
      </c>
      <c r="P371" s="3">
        <f t="shared" si="33"/>
        <v>0</v>
      </c>
      <c r="Q371" t="str">
        <f t="shared" si="34"/>
        <v>Correct</v>
      </c>
    </row>
    <row r="372" spans="1:17" x14ac:dyDescent="0.3">
      <c r="A372" t="s">
        <v>395</v>
      </c>
      <c r="B372" s="2">
        <v>46237</v>
      </c>
      <c r="C372" s="3">
        <v>1.92</v>
      </c>
      <c r="D372" s="3">
        <v>7.56</v>
      </c>
      <c r="E372" s="3">
        <v>8.1</v>
      </c>
      <c r="F372" s="4">
        <v>1</v>
      </c>
      <c r="G372" s="5">
        <v>34007.919999999998</v>
      </c>
      <c r="H372" t="s">
        <v>13</v>
      </c>
      <c r="I372" t="s">
        <v>14</v>
      </c>
      <c r="J372" t="s">
        <v>18</v>
      </c>
      <c r="L372" s="3">
        <f t="shared" si="35"/>
        <v>17.579999999999998</v>
      </c>
      <c r="M372" s="3">
        <f t="shared" si="30"/>
        <v>17.579999999999998</v>
      </c>
      <c r="N372" t="b">
        <f t="shared" si="31"/>
        <v>0</v>
      </c>
      <c r="O372">
        <f t="shared" si="32"/>
        <v>1</v>
      </c>
      <c r="P372" s="3">
        <f t="shared" si="33"/>
        <v>0</v>
      </c>
      <c r="Q372" t="str">
        <f t="shared" si="34"/>
        <v>Correct</v>
      </c>
    </row>
    <row r="373" spans="1:17" x14ac:dyDescent="0.3">
      <c r="A373" t="s">
        <v>396</v>
      </c>
      <c r="B373" s="2">
        <v>46284</v>
      </c>
      <c r="C373" s="3">
        <v>0.51</v>
      </c>
      <c r="D373" s="3">
        <v>3.27</v>
      </c>
      <c r="E373" s="3">
        <v>2.5099999999999998</v>
      </c>
      <c r="F373" s="4">
        <v>0</v>
      </c>
      <c r="G373" s="5">
        <v>15174.78</v>
      </c>
      <c r="H373" t="s">
        <v>24</v>
      </c>
      <c r="I373" t="s">
        <v>26</v>
      </c>
      <c r="J373" t="s">
        <v>21</v>
      </c>
      <c r="K373" t="s">
        <v>22</v>
      </c>
      <c r="L373" s="3">
        <f t="shared" si="35"/>
        <v>6.29</v>
      </c>
      <c r="M373" s="3">
        <f t="shared" si="30"/>
        <v>6.29</v>
      </c>
      <c r="N373" t="b">
        <f t="shared" si="31"/>
        <v>0</v>
      </c>
      <c r="O373">
        <f t="shared" si="32"/>
        <v>0</v>
      </c>
      <c r="P373" s="3">
        <f t="shared" si="33"/>
        <v>0</v>
      </c>
      <c r="Q373" t="str">
        <f t="shared" si="34"/>
        <v>Correct</v>
      </c>
    </row>
    <row r="374" spans="1:17" x14ac:dyDescent="0.3">
      <c r="A374" t="s">
        <v>397</v>
      </c>
      <c r="B374" s="2">
        <v>46238</v>
      </c>
      <c r="C374" s="3">
        <v>2.09</v>
      </c>
      <c r="D374" s="3">
        <v>3.79</v>
      </c>
      <c r="E374" s="3">
        <v>8.19</v>
      </c>
      <c r="F374" s="4">
        <v>2</v>
      </c>
      <c r="G374" s="5">
        <v>10002.709999999999</v>
      </c>
      <c r="H374" t="s">
        <v>13</v>
      </c>
      <c r="I374" t="s">
        <v>17</v>
      </c>
      <c r="J374" t="s">
        <v>18</v>
      </c>
      <c r="L374" s="3">
        <f t="shared" si="35"/>
        <v>14.07</v>
      </c>
      <c r="M374" s="3">
        <f t="shared" si="30"/>
        <v>14.07</v>
      </c>
      <c r="N374" t="b">
        <f t="shared" si="31"/>
        <v>0</v>
      </c>
      <c r="O374">
        <f t="shared" si="32"/>
        <v>1</v>
      </c>
      <c r="P374" s="3">
        <f t="shared" si="33"/>
        <v>0</v>
      </c>
      <c r="Q374" t="str">
        <f t="shared" si="34"/>
        <v>Correct</v>
      </c>
    </row>
    <row r="375" spans="1:17" x14ac:dyDescent="0.3">
      <c r="A375" t="s">
        <v>398</v>
      </c>
      <c r="B375" s="2">
        <v>46258</v>
      </c>
      <c r="C375" s="3">
        <v>1.7</v>
      </c>
      <c r="D375" s="3">
        <v>3.96</v>
      </c>
      <c r="E375" s="3">
        <v>2.84</v>
      </c>
      <c r="F375" s="4">
        <v>0</v>
      </c>
      <c r="G375" s="5">
        <v>7651.16</v>
      </c>
      <c r="H375" t="s">
        <v>24</v>
      </c>
      <c r="I375" t="s">
        <v>17</v>
      </c>
      <c r="J375" t="s">
        <v>18</v>
      </c>
      <c r="L375" s="3">
        <f t="shared" si="35"/>
        <v>8.5</v>
      </c>
      <c r="M375" s="3">
        <f t="shared" si="30"/>
        <v>8.5</v>
      </c>
      <c r="N375" t="b">
        <f t="shared" si="31"/>
        <v>0</v>
      </c>
      <c r="O375">
        <f t="shared" si="32"/>
        <v>1</v>
      </c>
      <c r="P375" s="3">
        <f t="shared" si="33"/>
        <v>0</v>
      </c>
      <c r="Q375" t="str">
        <f t="shared" si="34"/>
        <v>Correct</v>
      </c>
    </row>
    <row r="376" spans="1:17" x14ac:dyDescent="0.3">
      <c r="A376" t="s">
        <v>399</v>
      </c>
      <c r="B376" s="2">
        <v>46276</v>
      </c>
      <c r="C376" s="3">
        <v>4.2300000000000004</v>
      </c>
      <c r="D376" s="3">
        <v>1.25</v>
      </c>
      <c r="E376" s="3">
        <v>4.13</v>
      </c>
      <c r="F376" s="4">
        <v>0</v>
      </c>
      <c r="G376" s="5">
        <v>21125.85</v>
      </c>
      <c r="H376" t="s">
        <v>13</v>
      </c>
      <c r="I376" t="s">
        <v>26</v>
      </c>
      <c r="J376" t="s">
        <v>18</v>
      </c>
      <c r="L376" s="3">
        <f t="shared" si="35"/>
        <v>9.61</v>
      </c>
      <c r="M376" s="3">
        <f t="shared" si="30"/>
        <v>9.61</v>
      </c>
      <c r="N376" t="b">
        <f t="shared" si="31"/>
        <v>0</v>
      </c>
      <c r="O376">
        <f t="shared" si="32"/>
        <v>1</v>
      </c>
      <c r="P376" s="3">
        <f t="shared" si="33"/>
        <v>0</v>
      </c>
      <c r="Q376" t="str">
        <f t="shared" si="34"/>
        <v>Correct</v>
      </c>
    </row>
    <row r="377" spans="1:17" x14ac:dyDescent="0.3">
      <c r="A377" t="s">
        <v>400</v>
      </c>
      <c r="B377" s="2">
        <v>46294</v>
      </c>
      <c r="C377" s="3">
        <v>5.91</v>
      </c>
      <c r="D377" s="3">
        <v>6.25</v>
      </c>
      <c r="E377" s="3">
        <v>1.52</v>
      </c>
      <c r="F377" s="4">
        <v>0</v>
      </c>
      <c r="G377" s="5">
        <v>28267.26</v>
      </c>
      <c r="H377" t="s">
        <v>13</v>
      </c>
      <c r="I377" t="s">
        <v>26</v>
      </c>
      <c r="J377" t="s">
        <v>18</v>
      </c>
      <c r="L377" s="3">
        <f t="shared" si="35"/>
        <v>13.68</v>
      </c>
      <c r="M377" s="3">
        <f t="shared" si="30"/>
        <v>13.68</v>
      </c>
      <c r="N377" t="b">
        <f t="shared" si="31"/>
        <v>0</v>
      </c>
      <c r="O377">
        <f t="shared" si="32"/>
        <v>1</v>
      </c>
      <c r="P377" s="3">
        <f t="shared" si="33"/>
        <v>0</v>
      </c>
      <c r="Q377" t="str">
        <f t="shared" si="34"/>
        <v>Correct</v>
      </c>
    </row>
    <row r="378" spans="1:17" x14ac:dyDescent="0.3">
      <c r="A378" t="s">
        <v>401</v>
      </c>
      <c r="B378" s="2">
        <v>46286</v>
      </c>
      <c r="C378" s="3">
        <v>3.38</v>
      </c>
      <c r="D378" s="3">
        <v>2.2999999999999998</v>
      </c>
      <c r="E378" s="3">
        <v>3.76</v>
      </c>
      <c r="F378" s="4">
        <v>1</v>
      </c>
      <c r="G378" s="5">
        <v>11018.24</v>
      </c>
      <c r="H378" t="s">
        <v>24</v>
      </c>
      <c r="I378" t="s">
        <v>20</v>
      </c>
      <c r="J378" t="s">
        <v>18</v>
      </c>
      <c r="L378" s="3">
        <f t="shared" si="35"/>
        <v>9.44</v>
      </c>
      <c r="M378" s="3">
        <f t="shared" si="30"/>
        <v>9.44</v>
      </c>
      <c r="N378" t="b">
        <f t="shared" si="31"/>
        <v>0</v>
      </c>
      <c r="O378">
        <f t="shared" si="32"/>
        <v>1</v>
      </c>
      <c r="P378" s="3">
        <f t="shared" si="33"/>
        <v>0</v>
      </c>
      <c r="Q378" t="str">
        <f t="shared" si="34"/>
        <v>Correct</v>
      </c>
    </row>
    <row r="379" spans="1:17" x14ac:dyDescent="0.3">
      <c r="A379" t="s">
        <v>402</v>
      </c>
      <c r="B379" s="2">
        <v>46243</v>
      </c>
      <c r="C379" s="3">
        <v>1.63</v>
      </c>
      <c r="D379" s="3">
        <v>8.06</v>
      </c>
      <c r="E379" s="3">
        <v>3.41</v>
      </c>
      <c r="F379" s="4">
        <v>1</v>
      </c>
      <c r="G379" s="5">
        <v>13991.04</v>
      </c>
      <c r="H379" t="s">
        <v>24</v>
      </c>
      <c r="I379" t="s">
        <v>17</v>
      </c>
      <c r="J379" t="s">
        <v>18</v>
      </c>
      <c r="L379" s="3">
        <f t="shared" si="35"/>
        <v>13.100000000000001</v>
      </c>
      <c r="M379" s="3">
        <f t="shared" si="30"/>
        <v>13.100000000000001</v>
      </c>
      <c r="N379" t="b">
        <f t="shared" si="31"/>
        <v>0</v>
      </c>
      <c r="O379">
        <f t="shared" si="32"/>
        <v>1</v>
      </c>
      <c r="P379" s="3">
        <f t="shared" si="33"/>
        <v>0</v>
      </c>
      <c r="Q379" t="str">
        <f t="shared" si="34"/>
        <v>Correct</v>
      </c>
    </row>
    <row r="380" spans="1:17" x14ac:dyDescent="0.3">
      <c r="A380" t="s">
        <v>403</v>
      </c>
      <c r="B380" s="2">
        <v>46294</v>
      </c>
      <c r="C380" s="3">
        <v>1.83</v>
      </c>
      <c r="D380" s="3">
        <v>10.67</v>
      </c>
      <c r="E380" s="3">
        <v>1.91</v>
      </c>
      <c r="F380" s="4">
        <v>0</v>
      </c>
      <c r="G380" s="5">
        <v>10641.65</v>
      </c>
      <c r="H380" t="s">
        <v>24</v>
      </c>
      <c r="I380" t="s">
        <v>17</v>
      </c>
      <c r="J380" t="s">
        <v>18</v>
      </c>
      <c r="L380" s="3">
        <f t="shared" si="35"/>
        <v>14.41</v>
      </c>
      <c r="M380" s="3">
        <f t="shared" si="30"/>
        <v>14.41</v>
      </c>
      <c r="N380" t="b">
        <f t="shared" si="31"/>
        <v>0</v>
      </c>
      <c r="O380">
        <f t="shared" si="32"/>
        <v>1</v>
      </c>
      <c r="P380" s="3">
        <f t="shared" si="33"/>
        <v>0</v>
      </c>
      <c r="Q380" t="str">
        <f t="shared" si="34"/>
        <v>Correct</v>
      </c>
    </row>
    <row r="381" spans="1:17" x14ac:dyDescent="0.3">
      <c r="A381" t="s">
        <v>404</v>
      </c>
      <c r="B381" s="2">
        <v>46274</v>
      </c>
      <c r="C381" s="3">
        <v>0.85</v>
      </c>
      <c r="D381" s="3">
        <v>4.9400000000000004</v>
      </c>
      <c r="E381" s="3">
        <v>3.3</v>
      </c>
      <c r="F381" s="4">
        <v>1</v>
      </c>
      <c r="G381" s="5">
        <v>15526.76</v>
      </c>
      <c r="H381" t="s">
        <v>24</v>
      </c>
      <c r="I381" t="s">
        <v>14</v>
      </c>
      <c r="J381" t="s">
        <v>21</v>
      </c>
      <c r="K381" t="s">
        <v>22</v>
      </c>
      <c r="L381" s="3">
        <f t="shared" si="35"/>
        <v>9.09</v>
      </c>
      <c r="M381" s="3">
        <f t="shared" si="30"/>
        <v>9.09</v>
      </c>
      <c r="N381" t="b">
        <f t="shared" si="31"/>
        <v>0</v>
      </c>
      <c r="O381">
        <f t="shared" si="32"/>
        <v>0</v>
      </c>
      <c r="P381" s="3">
        <f t="shared" si="33"/>
        <v>0</v>
      </c>
      <c r="Q381" t="str">
        <f t="shared" si="34"/>
        <v>Correct</v>
      </c>
    </row>
    <row r="382" spans="1:17" x14ac:dyDescent="0.3">
      <c r="A382" t="s">
        <v>405</v>
      </c>
      <c r="B382" s="2">
        <v>46245</v>
      </c>
      <c r="C382" s="3">
        <v>1</v>
      </c>
      <c r="D382" s="3">
        <v>2.98</v>
      </c>
      <c r="E382" s="3">
        <v>4.1900000000000004</v>
      </c>
      <c r="F382" s="4">
        <v>1</v>
      </c>
      <c r="G382" s="5">
        <v>10425.67</v>
      </c>
      <c r="H382" t="s">
        <v>24</v>
      </c>
      <c r="I382" t="s">
        <v>14</v>
      </c>
      <c r="J382" t="s">
        <v>21</v>
      </c>
      <c r="K382" t="s">
        <v>163</v>
      </c>
      <c r="L382" s="3">
        <f t="shared" si="35"/>
        <v>8.17</v>
      </c>
      <c r="M382" s="3">
        <f t="shared" si="30"/>
        <v>8.17</v>
      </c>
      <c r="N382" t="b">
        <f t="shared" si="31"/>
        <v>0</v>
      </c>
      <c r="O382">
        <f t="shared" si="32"/>
        <v>0</v>
      </c>
      <c r="P382" s="3">
        <f t="shared" si="33"/>
        <v>0</v>
      </c>
      <c r="Q382" t="str">
        <f t="shared" si="34"/>
        <v>Correct</v>
      </c>
    </row>
    <row r="383" spans="1:17" x14ac:dyDescent="0.3">
      <c r="A383" t="s">
        <v>406</v>
      </c>
      <c r="B383" s="2">
        <v>46261</v>
      </c>
      <c r="C383" s="3">
        <v>1.55</v>
      </c>
      <c r="D383" s="3">
        <v>2.0299999999999998</v>
      </c>
      <c r="E383" s="3">
        <v>6.61</v>
      </c>
      <c r="F383" s="4">
        <v>1</v>
      </c>
      <c r="G383" s="5">
        <v>15238.48</v>
      </c>
      <c r="H383" t="s">
        <v>24</v>
      </c>
      <c r="I383" t="s">
        <v>20</v>
      </c>
      <c r="J383" t="s">
        <v>18</v>
      </c>
      <c r="L383" s="3">
        <f t="shared" si="35"/>
        <v>10.190000000000001</v>
      </c>
      <c r="M383" s="3">
        <f t="shared" si="30"/>
        <v>10.190000000000001</v>
      </c>
      <c r="N383" t="b">
        <f t="shared" si="31"/>
        <v>0</v>
      </c>
      <c r="O383">
        <f t="shared" si="32"/>
        <v>1</v>
      </c>
      <c r="P383" s="3">
        <f t="shared" si="33"/>
        <v>0</v>
      </c>
      <c r="Q383" t="str">
        <f t="shared" si="34"/>
        <v>Correct</v>
      </c>
    </row>
    <row r="384" spans="1:17" x14ac:dyDescent="0.3">
      <c r="A384" t="s">
        <v>407</v>
      </c>
      <c r="B384" s="2">
        <v>46290</v>
      </c>
      <c r="C384" s="3">
        <v>1.43</v>
      </c>
      <c r="D384" s="3">
        <v>2.02</v>
      </c>
      <c r="E384" s="3">
        <v>2.4900000000000002</v>
      </c>
      <c r="F384" s="4">
        <v>1</v>
      </c>
      <c r="G384" s="5">
        <v>43324.23</v>
      </c>
      <c r="H384" t="s">
        <v>13</v>
      </c>
      <c r="I384" t="s">
        <v>20</v>
      </c>
      <c r="J384" t="s">
        <v>18</v>
      </c>
      <c r="L384" s="3">
        <f t="shared" si="35"/>
        <v>5.94</v>
      </c>
      <c r="M384" s="3">
        <f t="shared" si="30"/>
        <v>5.94</v>
      </c>
      <c r="N384" t="b">
        <f t="shared" si="31"/>
        <v>0</v>
      </c>
      <c r="O384">
        <f t="shared" si="32"/>
        <v>1</v>
      </c>
      <c r="P384" s="3">
        <f t="shared" si="33"/>
        <v>0</v>
      </c>
      <c r="Q384" t="str">
        <f t="shared" si="34"/>
        <v>Correct</v>
      </c>
    </row>
    <row r="385" spans="1:17" x14ac:dyDescent="0.3">
      <c r="A385" t="s">
        <v>408</v>
      </c>
      <c r="B385" s="2">
        <v>46258</v>
      </c>
      <c r="C385" s="3">
        <v>0.48</v>
      </c>
      <c r="D385" s="3">
        <v>13.95</v>
      </c>
      <c r="E385" s="3">
        <v>3.5</v>
      </c>
      <c r="F385" s="4">
        <v>1</v>
      </c>
      <c r="G385" s="5">
        <v>6358.26</v>
      </c>
      <c r="H385" t="s">
        <v>24</v>
      </c>
      <c r="I385" t="s">
        <v>17</v>
      </c>
      <c r="J385" t="s">
        <v>21</v>
      </c>
      <c r="K385" t="s">
        <v>29</v>
      </c>
      <c r="L385" s="3">
        <f t="shared" si="35"/>
        <v>17.93</v>
      </c>
      <c r="M385" s="3">
        <f t="shared" si="30"/>
        <v>17.93</v>
      </c>
      <c r="N385" t="b">
        <f t="shared" si="31"/>
        <v>0</v>
      </c>
      <c r="O385">
        <f t="shared" si="32"/>
        <v>0</v>
      </c>
      <c r="P385" s="3">
        <f t="shared" si="33"/>
        <v>0</v>
      </c>
      <c r="Q385" t="str">
        <f t="shared" si="34"/>
        <v>Correct</v>
      </c>
    </row>
    <row r="386" spans="1:17" x14ac:dyDescent="0.3">
      <c r="A386" t="s">
        <v>409</v>
      </c>
      <c r="B386" s="2">
        <v>46246</v>
      </c>
      <c r="C386" s="3">
        <v>4.26</v>
      </c>
      <c r="D386" s="3">
        <v>7.9</v>
      </c>
      <c r="E386" s="3">
        <v>5.74</v>
      </c>
      <c r="F386" s="4">
        <v>0</v>
      </c>
      <c r="G386" s="5">
        <v>3661.11</v>
      </c>
      <c r="H386" t="s">
        <v>24</v>
      </c>
      <c r="I386" t="s">
        <v>17</v>
      </c>
      <c r="J386" t="s">
        <v>18</v>
      </c>
      <c r="L386" s="3">
        <f t="shared" si="35"/>
        <v>17.899999999999999</v>
      </c>
      <c r="M386" s="3">
        <f t="shared" ref="M386:M449" si="36">SUM(C386:E386)</f>
        <v>17.899999999999999</v>
      </c>
      <c r="N386" t="b">
        <f t="shared" ref="N386:N449" si="37">COUNTIF(A:A,A386)&gt;1</f>
        <v>0</v>
      </c>
      <c r="O386">
        <f t="shared" ref="O386:O449" si="38">COUNTBLANK(A386:L386)</f>
        <v>1</v>
      </c>
      <c r="P386" s="3">
        <f t="shared" ref="P386:P449" si="39">COUNTBLANK(A386:J386)+COUNTBLANK(L386)</f>
        <v>0</v>
      </c>
      <c r="Q386" t="str">
        <f t="shared" ref="Q386:Q449" si="40">IF(L386=M386,"Correct","Mismatch")</f>
        <v>Correct</v>
      </c>
    </row>
    <row r="387" spans="1:17" x14ac:dyDescent="0.3">
      <c r="A387" t="s">
        <v>410</v>
      </c>
      <c r="B387" s="2">
        <v>46287</v>
      </c>
      <c r="C387" s="3">
        <v>4.67</v>
      </c>
      <c r="D387" s="3">
        <v>3.11</v>
      </c>
      <c r="E387" s="3">
        <v>4.8</v>
      </c>
      <c r="F387" s="4">
        <v>1</v>
      </c>
      <c r="G387" s="5">
        <v>23130.82</v>
      </c>
      <c r="H387" t="s">
        <v>24</v>
      </c>
      <c r="I387" t="s">
        <v>20</v>
      </c>
      <c r="J387" t="s">
        <v>18</v>
      </c>
      <c r="L387" s="3">
        <f t="shared" ref="L387:L450" si="41">SUM(C387:E387)</f>
        <v>12.579999999999998</v>
      </c>
      <c r="M387" s="3">
        <f t="shared" si="36"/>
        <v>12.579999999999998</v>
      </c>
      <c r="N387" t="b">
        <f t="shared" si="37"/>
        <v>0</v>
      </c>
      <c r="O387">
        <f t="shared" si="38"/>
        <v>1</v>
      </c>
      <c r="P387" s="3">
        <f t="shared" si="39"/>
        <v>0</v>
      </c>
      <c r="Q387" t="str">
        <f t="shared" si="40"/>
        <v>Correct</v>
      </c>
    </row>
    <row r="388" spans="1:17" x14ac:dyDescent="0.3">
      <c r="A388" t="s">
        <v>411</v>
      </c>
      <c r="B388" s="2">
        <v>46292</v>
      </c>
      <c r="C388" s="3">
        <v>4.17</v>
      </c>
      <c r="D388" s="3">
        <v>5.91</v>
      </c>
      <c r="E388" s="3">
        <v>2.37</v>
      </c>
      <c r="F388" s="4">
        <v>1</v>
      </c>
      <c r="G388" s="5">
        <v>11397.65</v>
      </c>
      <c r="H388" t="s">
        <v>24</v>
      </c>
      <c r="I388" t="s">
        <v>14</v>
      </c>
      <c r="J388" t="s">
        <v>18</v>
      </c>
      <c r="L388" s="3">
        <f t="shared" si="41"/>
        <v>12.45</v>
      </c>
      <c r="M388" s="3">
        <f t="shared" si="36"/>
        <v>12.45</v>
      </c>
      <c r="N388" t="b">
        <f t="shared" si="37"/>
        <v>0</v>
      </c>
      <c r="O388">
        <f t="shared" si="38"/>
        <v>1</v>
      </c>
      <c r="P388" s="3">
        <f t="shared" si="39"/>
        <v>0</v>
      </c>
      <c r="Q388" t="str">
        <f t="shared" si="40"/>
        <v>Correct</v>
      </c>
    </row>
    <row r="389" spans="1:17" x14ac:dyDescent="0.3">
      <c r="A389" t="s">
        <v>412</v>
      </c>
      <c r="B389" s="2">
        <v>46293</v>
      </c>
      <c r="C389" s="3">
        <v>4.7699999999999996</v>
      </c>
      <c r="D389" s="3">
        <v>7.6</v>
      </c>
      <c r="E389" s="3">
        <v>0.66</v>
      </c>
      <c r="F389" s="4">
        <v>0</v>
      </c>
      <c r="G389" s="5">
        <v>3854.64</v>
      </c>
      <c r="H389" t="s">
        <v>24</v>
      </c>
      <c r="I389" t="s">
        <v>20</v>
      </c>
      <c r="J389" t="s">
        <v>18</v>
      </c>
      <c r="L389" s="3">
        <f t="shared" si="41"/>
        <v>13.03</v>
      </c>
      <c r="M389" s="3">
        <f t="shared" si="36"/>
        <v>13.03</v>
      </c>
      <c r="N389" t="b">
        <f t="shared" si="37"/>
        <v>0</v>
      </c>
      <c r="O389">
        <f t="shared" si="38"/>
        <v>1</v>
      </c>
      <c r="P389" s="3">
        <f t="shared" si="39"/>
        <v>0</v>
      </c>
      <c r="Q389" t="str">
        <f t="shared" si="40"/>
        <v>Correct</v>
      </c>
    </row>
    <row r="390" spans="1:17" x14ac:dyDescent="0.3">
      <c r="A390" t="s">
        <v>413</v>
      </c>
      <c r="B390" s="2">
        <v>46292</v>
      </c>
      <c r="C390" s="3">
        <v>7.05</v>
      </c>
      <c r="D390" s="3">
        <v>2.34</v>
      </c>
      <c r="E390" s="3">
        <v>3.56</v>
      </c>
      <c r="F390" s="4">
        <v>0</v>
      </c>
      <c r="G390" s="5">
        <v>6683.51</v>
      </c>
      <c r="H390" t="s">
        <v>24</v>
      </c>
      <c r="I390" t="s">
        <v>26</v>
      </c>
      <c r="J390" t="s">
        <v>15</v>
      </c>
      <c r="L390" s="3">
        <f t="shared" si="41"/>
        <v>12.950000000000001</v>
      </c>
      <c r="M390" s="3">
        <f t="shared" si="36"/>
        <v>12.950000000000001</v>
      </c>
      <c r="N390" t="b">
        <f t="shared" si="37"/>
        <v>0</v>
      </c>
      <c r="O390">
        <f t="shared" si="38"/>
        <v>1</v>
      </c>
      <c r="P390" s="3">
        <f t="shared" si="39"/>
        <v>0</v>
      </c>
      <c r="Q390" t="str">
        <f t="shared" si="40"/>
        <v>Correct</v>
      </c>
    </row>
    <row r="391" spans="1:17" x14ac:dyDescent="0.3">
      <c r="A391" t="s">
        <v>414</v>
      </c>
      <c r="B391" s="2">
        <v>46287</v>
      </c>
      <c r="C391" s="3">
        <v>0.86</v>
      </c>
      <c r="D391" s="3">
        <v>6.33</v>
      </c>
      <c r="E391" s="3">
        <v>1.77</v>
      </c>
      <c r="F391" s="4">
        <v>0</v>
      </c>
      <c r="G391" s="5">
        <v>16614.48</v>
      </c>
      <c r="H391" t="s">
        <v>13</v>
      </c>
      <c r="I391" t="s">
        <v>20</v>
      </c>
      <c r="J391" t="s">
        <v>18</v>
      </c>
      <c r="L391" s="3">
        <f t="shared" si="41"/>
        <v>8.9600000000000009</v>
      </c>
      <c r="M391" s="3">
        <f t="shared" si="36"/>
        <v>8.9600000000000009</v>
      </c>
      <c r="N391" t="b">
        <f t="shared" si="37"/>
        <v>0</v>
      </c>
      <c r="O391">
        <f t="shared" si="38"/>
        <v>1</v>
      </c>
      <c r="P391" s="3">
        <f t="shared" si="39"/>
        <v>0</v>
      </c>
      <c r="Q391" t="str">
        <f t="shared" si="40"/>
        <v>Correct</v>
      </c>
    </row>
    <row r="392" spans="1:17" x14ac:dyDescent="0.3">
      <c r="A392" t="s">
        <v>415</v>
      </c>
      <c r="B392" s="2">
        <v>46262</v>
      </c>
      <c r="C392" s="3">
        <v>6.85</v>
      </c>
      <c r="D392" s="3">
        <v>4.76</v>
      </c>
      <c r="E392" s="3">
        <v>1.1100000000000001</v>
      </c>
      <c r="F392" s="4">
        <v>2</v>
      </c>
      <c r="G392" s="5">
        <v>8486.0400000000009</v>
      </c>
      <c r="H392" t="s">
        <v>24</v>
      </c>
      <c r="I392" t="s">
        <v>14</v>
      </c>
      <c r="J392" t="s">
        <v>18</v>
      </c>
      <c r="L392" s="3">
        <f t="shared" si="41"/>
        <v>12.719999999999999</v>
      </c>
      <c r="M392" s="3">
        <f t="shared" si="36"/>
        <v>12.719999999999999</v>
      </c>
      <c r="N392" t="b">
        <f t="shared" si="37"/>
        <v>0</v>
      </c>
      <c r="O392">
        <f t="shared" si="38"/>
        <v>1</v>
      </c>
      <c r="P392" s="3">
        <f t="shared" si="39"/>
        <v>0</v>
      </c>
      <c r="Q392" t="str">
        <f t="shared" si="40"/>
        <v>Correct</v>
      </c>
    </row>
    <row r="393" spans="1:17" x14ac:dyDescent="0.3">
      <c r="A393" t="s">
        <v>416</v>
      </c>
      <c r="B393" s="2">
        <v>46246</v>
      </c>
      <c r="C393" s="3">
        <v>1.27</v>
      </c>
      <c r="D393" s="3">
        <v>12.99</v>
      </c>
      <c r="E393" s="3">
        <v>1.66</v>
      </c>
      <c r="F393" s="4">
        <v>0</v>
      </c>
      <c r="G393" s="5">
        <v>76647.070000000007</v>
      </c>
      <c r="H393" t="s">
        <v>13</v>
      </c>
      <c r="I393" t="s">
        <v>26</v>
      </c>
      <c r="J393" t="s">
        <v>18</v>
      </c>
      <c r="L393" s="3">
        <f t="shared" si="41"/>
        <v>15.92</v>
      </c>
      <c r="M393" s="3">
        <f t="shared" si="36"/>
        <v>15.92</v>
      </c>
      <c r="N393" t="b">
        <f t="shared" si="37"/>
        <v>0</v>
      </c>
      <c r="O393">
        <f t="shared" si="38"/>
        <v>1</v>
      </c>
      <c r="P393" s="3">
        <f t="shared" si="39"/>
        <v>0</v>
      </c>
      <c r="Q393" t="str">
        <f t="shared" si="40"/>
        <v>Correct</v>
      </c>
    </row>
    <row r="394" spans="1:17" x14ac:dyDescent="0.3">
      <c r="A394" t="s">
        <v>417</v>
      </c>
      <c r="B394" s="2">
        <v>46272</v>
      </c>
      <c r="C394" s="3">
        <v>2.72</v>
      </c>
      <c r="D394" s="3">
        <v>3.08</v>
      </c>
      <c r="E394" s="3">
        <v>5.94</v>
      </c>
      <c r="F394" s="4">
        <v>1</v>
      </c>
      <c r="G394" s="5">
        <v>21385.86</v>
      </c>
      <c r="H394" t="s">
        <v>24</v>
      </c>
      <c r="I394" t="s">
        <v>14</v>
      </c>
      <c r="J394" t="s">
        <v>21</v>
      </c>
      <c r="K394" t="s">
        <v>163</v>
      </c>
      <c r="L394" s="3">
        <f t="shared" si="41"/>
        <v>11.740000000000002</v>
      </c>
      <c r="M394" s="3">
        <f t="shared" si="36"/>
        <v>11.740000000000002</v>
      </c>
      <c r="N394" t="b">
        <f t="shared" si="37"/>
        <v>0</v>
      </c>
      <c r="O394">
        <f t="shared" si="38"/>
        <v>0</v>
      </c>
      <c r="P394" s="3">
        <f t="shared" si="39"/>
        <v>0</v>
      </c>
      <c r="Q394" t="str">
        <f t="shared" si="40"/>
        <v>Correct</v>
      </c>
    </row>
    <row r="395" spans="1:17" x14ac:dyDescent="0.3">
      <c r="A395" t="s">
        <v>418</v>
      </c>
      <c r="B395" s="2">
        <v>46248</v>
      </c>
      <c r="C395" s="3">
        <v>0.36</v>
      </c>
      <c r="D395" s="3">
        <v>1.97</v>
      </c>
      <c r="E395" s="3">
        <v>2.02</v>
      </c>
      <c r="F395" s="4">
        <v>0</v>
      </c>
      <c r="G395" s="5">
        <v>5563.55</v>
      </c>
      <c r="H395" t="s">
        <v>24</v>
      </c>
      <c r="I395" t="s">
        <v>14</v>
      </c>
      <c r="J395" t="s">
        <v>18</v>
      </c>
      <c r="L395" s="3">
        <f t="shared" si="41"/>
        <v>4.3499999999999996</v>
      </c>
      <c r="M395" s="3">
        <f t="shared" si="36"/>
        <v>4.3499999999999996</v>
      </c>
      <c r="N395" t="b">
        <f t="shared" si="37"/>
        <v>0</v>
      </c>
      <c r="O395">
        <f t="shared" si="38"/>
        <v>1</v>
      </c>
      <c r="P395" s="3">
        <f t="shared" si="39"/>
        <v>0</v>
      </c>
      <c r="Q395" t="str">
        <f t="shared" si="40"/>
        <v>Correct</v>
      </c>
    </row>
    <row r="396" spans="1:17" x14ac:dyDescent="0.3">
      <c r="A396" t="s">
        <v>419</v>
      </c>
      <c r="B396" s="2">
        <v>46263</v>
      </c>
      <c r="C396" s="3">
        <v>1.1399999999999999</v>
      </c>
      <c r="D396" s="3">
        <v>6.82</v>
      </c>
      <c r="E396" s="3">
        <v>2.77</v>
      </c>
      <c r="F396" s="4">
        <v>0</v>
      </c>
      <c r="G396" s="5">
        <v>32217.77</v>
      </c>
      <c r="H396" t="s">
        <v>13</v>
      </c>
      <c r="I396" t="s">
        <v>26</v>
      </c>
      <c r="J396" t="s">
        <v>18</v>
      </c>
      <c r="L396" s="3">
        <f t="shared" si="41"/>
        <v>10.73</v>
      </c>
      <c r="M396" s="3">
        <f t="shared" si="36"/>
        <v>10.73</v>
      </c>
      <c r="N396" t="b">
        <f t="shared" si="37"/>
        <v>0</v>
      </c>
      <c r="O396">
        <f t="shared" si="38"/>
        <v>1</v>
      </c>
      <c r="P396" s="3">
        <f t="shared" si="39"/>
        <v>0</v>
      </c>
      <c r="Q396" t="str">
        <f t="shared" si="40"/>
        <v>Correct</v>
      </c>
    </row>
    <row r="397" spans="1:17" x14ac:dyDescent="0.3">
      <c r="A397" t="s">
        <v>420</v>
      </c>
      <c r="B397" s="2">
        <v>46274</v>
      </c>
      <c r="C397" s="3">
        <v>3.44</v>
      </c>
      <c r="D397" s="3">
        <v>13.9</v>
      </c>
      <c r="E397" s="3">
        <v>2.86</v>
      </c>
      <c r="F397" s="4">
        <v>2</v>
      </c>
      <c r="G397" s="5">
        <v>29404.69</v>
      </c>
      <c r="H397" t="s">
        <v>13</v>
      </c>
      <c r="I397" t="s">
        <v>17</v>
      </c>
      <c r="J397" t="s">
        <v>18</v>
      </c>
      <c r="L397" s="3">
        <f t="shared" si="41"/>
        <v>20.2</v>
      </c>
      <c r="M397" s="3">
        <f t="shared" si="36"/>
        <v>20.2</v>
      </c>
      <c r="N397" t="b">
        <f t="shared" si="37"/>
        <v>0</v>
      </c>
      <c r="O397">
        <f t="shared" si="38"/>
        <v>1</v>
      </c>
      <c r="P397" s="3">
        <f t="shared" si="39"/>
        <v>0</v>
      </c>
      <c r="Q397" t="str">
        <f t="shared" si="40"/>
        <v>Correct</v>
      </c>
    </row>
    <row r="398" spans="1:17" x14ac:dyDescent="0.3">
      <c r="A398" t="s">
        <v>421</v>
      </c>
      <c r="B398" s="2">
        <v>46291</v>
      </c>
      <c r="C398" s="3">
        <v>2.82</v>
      </c>
      <c r="D398" s="3">
        <v>4.43</v>
      </c>
      <c r="E398" s="3">
        <v>3.81</v>
      </c>
      <c r="F398" s="4">
        <v>1</v>
      </c>
      <c r="G398" s="5">
        <v>12268.01</v>
      </c>
      <c r="H398" t="s">
        <v>24</v>
      </c>
      <c r="I398" t="s">
        <v>20</v>
      </c>
      <c r="J398" t="s">
        <v>18</v>
      </c>
      <c r="L398" s="3">
        <f t="shared" si="41"/>
        <v>11.06</v>
      </c>
      <c r="M398" s="3">
        <f t="shared" si="36"/>
        <v>11.06</v>
      </c>
      <c r="N398" t="b">
        <f t="shared" si="37"/>
        <v>0</v>
      </c>
      <c r="O398">
        <f t="shared" si="38"/>
        <v>1</v>
      </c>
      <c r="P398" s="3">
        <f t="shared" si="39"/>
        <v>0</v>
      </c>
      <c r="Q398" t="str">
        <f t="shared" si="40"/>
        <v>Correct</v>
      </c>
    </row>
    <row r="399" spans="1:17" x14ac:dyDescent="0.3">
      <c r="A399" t="s">
        <v>422</v>
      </c>
      <c r="B399" s="2">
        <v>46252</v>
      </c>
      <c r="C399" s="3">
        <v>1.25</v>
      </c>
      <c r="D399" s="3">
        <v>16.559999999999999</v>
      </c>
      <c r="E399" s="3">
        <v>3.18</v>
      </c>
      <c r="F399" s="4">
        <v>0</v>
      </c>
      <c r="G399" s="5">
        <v>13003.69</v>
      </c>
      <c r="H399" t="s">
        <v>24</v>
      </c>
      <c r="I399" t="s">
        <v>17</v>
      </c>
      <c r="J399" t="s">
        <v>18</v>
      </c>
      <c r="L399" s="3">
        <f t="shared" si="41"/>
        <v>20.99</v>
      </c>
      <c r="M399" s="3">
        <f t="shared" si="36"/>
        <v>20.99</v>
      </c>
      <c r="N399" t="b">
        <f t="shared" si="37"/>
        <v>0</v>
      </c>
      <c r="O399">
        <f t="shared" si="38"/>
        <v>1</v>
      </c>
      <c r="P399" s="3">
        <f t="shared" si="39"/>
        <v>0</v>
      </c>
      <c r="Q399" t="str">
        <f t="shared" si="40"/>
        <v>Correct</v>
      </c>
    </row>
    <row r="400" spans="1:17" x14ac:dyDescent="0.3">
      <c r="A400" t="s">
        <v>423</v>
      </c>
      <c r="B400" s="2">
        <v>46250</v>
      </c>
      <c r="C400" s="3">
        <v>1.82</v>
      </c>
      <c r="D400" s="3">
        <v>5.0599999999999996</v>
      </c>
      <c r="E400" s="3">
        <v>0.5</v>
      </c>
      <c r="F400" s="4">
        <v>0</v>
      </c>
      <c r="G400" s="5">
        <v>16336.89</v>
      </c>
      <c r="H400" t="s">
        <v>24</v>
      </c>
      <c r="I400" t="s">
        <v>17</v>
      </c>
      <c r="J400" t="s">
        <v>18</v>
      </c>
      <c r="L400" s="3">
        <f t="shared" si="41"/>
        <v>7.38</v>
      </c>
      <c r="M400" s="3">
        <f t="shared" si="36"/>
        <v>7.38</v>
      </c>
      <c r="N400" t="b">
        <f t="shared" si="37"/>
        <v>0</v>
      </c>
      <c r="O400">
        <f t="shared" si="38"/>
        <v>1</v>
      </c>
      <c r="P400" s="3">
        <f t="shared" si="39"/>
        <v>0</v>
      </c>
      <c r="Q400" t="str">
        <f t="shared" si="40"/>
        <v>Correct</v>
      </c>
    </row>
    <row r="401" spans="1:17" x14ac:dyDescent="0.3">
      <c r="A401" t="s">
        <v>424</v>
      </c>
      <c r="B401" s="2">
        <v>46279</v>
      </c>
      <c r="C401" s="3">
        <v>1.04</v>
      </c>
      <c r="D401" s="3">
        <v>7.44</v>
      </c>
      <c r="E401" s="3">
        <v>2.37</v>
      </c>
      <c r="F401" s="4">
        <v>1</v>
      </c>
      <c r="G401" s="5">
        <v>11039.31</v>
      </c>
      <c r="H401" t="s">
        <v>24</v>
      </c>
      <c r="I401" t="s">
        <v>17</v>
      </c>
      <c r="J401" t="s">
        <v>18</v>
      </c>
      <c r="L401" s="3">
        <f t="shared" si="41"/>
        <v>10.850000000000001</v>
      </c>
      <c r="M401" s="3">
        <f t="shared" si="36"/>
        <v>10.850000000000001</v>
      </c>
      <c r="N401" t="b">
        <f t="shared" si="37"/>
        <v>0</v>
      </c>
      <c r="O401">
        <f t="shared" si="38"/>
        <v>1</v>
      </c>
      <c r="P401" s="3">
        <f t="shared" si="39"/>
        <v>0</v>
      </c>
      <c r="Q401" t="str">
        <f t="shared" si="40"/>
        <v>Correct</v>
      </c>
    </row>
    <row r="402" spans="1:17" x14ac:dyDescent="0.3">
      <c r="A402" t="s">
        <v>425</v>
      </c>
      <c r="B402" s="2">
        <v>46235</v>
      </c>
      <c r="C402" s="3">
        <v>3.44</v>
      </c>
      <c r="D402" s="3">
        <v>1.94</v>
      </c>
      <c r="E402" s="3">
        <v>4.63</v>
      </c>
      <c r="F402" s="4">
        <v>0</v>
      </c>
      <c r="G402" s="5">
        <v>12954.02</v>
      </c>
      <c r="H402" t="s">
        <v>24</v>
      </c>
      <c r="I402" t="s">
        <v>17</v>
      </c>
      <c r="J402" t="s">
        <v>21</v>
      </c>
      <c r="K402" t="s">
        <v>131</v>
      </c>
      <c r="L402" s="3">
        <f t="shared" si="41"/>
        <v>10.01</v>
      </c>
      <c r="M402" s="3">
        <f t="shared" si="36"/>
        <v>10.01</v>
      </c>
      <c r="N402" t="b">
        <f t="shared" si="37"/>
        <v>0</v>
      </c>
      <c r="O402">
        <f t="shared" si="38"/>
        <v>0</v>
      </c>
      <c r="P402" s="3">
        <f t="shared" si="39"/>
        <v>0</v>
      </c>
      <c r="Q402" t="str">
        <f t="shared" si="40"/>
        <v>Correct</v>
      </c>
    </row>
    <row r="403" spans="1:17" x14ac:dyDescent="0.3">
      <c r="A403" t="s">
        <v>426</v>
      </c>
      <c r="B403" s="2">
        <v>46268</v>
      </c>
      <c r="C403" s="3">
        <v>4.45</v>
      </c>
      <c r="D403" s="3">
        <v>1.89</v>
      </c>
      <c r="E403" s="3">
        <v>0.68</v>
      </c>
      <c r="F403" s="4">
        <v>0</v>
      </c>
      <c r="G403" s="5">
        <v>8582.11</v>
      </c>
      <c r="H403" t="s">
        <v>24</v>
      </c>
      <c r="I403" t="s">
        <v>20</v>
      </c>
      <c r="J403" t="s">
        <v>15</v>
      </c>
      <c r="L403" s="3">
        <f t="shared" si="41"/>
        <v>7.02</v>
      </c>
      <c r="M403" s="3">
        <f t="shared" si="36"/>
        <v>7.02</v>
      </c>
      <c r="N403" t="b">
        <f t="shared" si="37"/>
        <v>0</v>
      </c>
      <c r="O403">
        <f t="shared" si="38"/>
        <v>1</v>
      </c>
      <c r="P403" s="3">
        <f t="shared" si="39"/>
        <v>0</v>
      </c>
      <c r="Q403" t="str">
        <f t="shared" si="40"/>
        <v>Correct</v>
      </c>
    </row>
    <row r="404" spans="1:17" x14ac:dyDescent="0.3">
      <c r="A404" t="s">
        <v>427</v>
      </c>
      <c r="B404" s="2">
        <v>46279</v>
      </c>
      <c r="C404" s="3">
        <v>0.86</v>
      </c>
      <c r="D404" s="3">
        <v>2.35</v>
      </c>
      <c r="E404" s="3">
        <v>5.26</v>
      </c>
      <c r="F404" s="4">
        <v>2</v>
      </c>
      <c r="G404" s="5">
        <v>10244.379999999999</v>
      </c>
      <c r="H404" t="s">
        <v>24</v>
      </c>
      <c r="I404" t="s">
        <v>20</v>
      </c>
      <c r="J404" t="s">
        <v>18</v>
      </c>
      <c r="L404" s="3">
        <f t="shared" si="41"/>
        <v>8.4699999999999989</v>
      </c>
      <c r="M404" s="3">
        <f t="shared" si="36"/>
        <v>8.4699999999999989</v>
      </c>
      <c r="N404" t="b">
        <f t="shared" si="37"/>
        <v>0</v>
      </c>
      <c r="O404">
        <f t="shared" si="38"/>
        <v>1</v>
      </c>
      <c r="P404" s="3">
        <f t="shared" si="39"/>
        <v>0</v>
      </c>
      <c r="Q404" t="str">
        <f t="shared" si="40"/>
        <v>Correct</v>
      </c>
    </row>
    <row r="405" spans="1:17" x14ac:dyDescent="0.3">
      <c r="A405" t="s">
        <v>428</v>
      </c>
      <c r="B405" s="2">
        <v>46268</v>
      </c>
      <c r="C405" s="3">
        <v>1.68</v>
      </c>
      <c r="D405" s="3">
        <v>3.46</v>
      </c>
      <c r="E405" s="3">
        <v>1.89</v>
      </c>
      <c r="F405" s="4">
        <v>0</v>
      </c>
      <c r="G405" s="5">
        <v>10500.14</v>
      </c>
      <c r="H405" t="s">
        <v>24</v>
      </c>
      <c r="I405" t="s">
        <v>26</v>
      </c>
      <c r="J405" t="s">
        <v>18</v>
      </c>
      <c r="L405" s="3">
        <f t="shared" si="41"/>
        <v>7.0299999999999994</v>
      </c>
      <c r="M405" s="3">
        <f t="shared" si="36"/>
        <v>7.0299999999999994</v>
      </c>
      <c r="N405" t="b">
        <f t="shared" si="37"/>
        <v>0</v>
      </c>
      <c r="O405">
        <f t="shared" si="38"/>
        <v>1</v>
      </c>
      <c r="P405" s="3">
        <f t="shared" si="39"/>
        <v>0</v>
      </c>
      <c r="Q405" t="str">
        <f t="shared" si="40"/>
        <v>Correct</v>
      </c>
    </row>
    <row r="406" spans="1:17" x14ac:dyDescent="0.3">
      <c r="A406" t="s">
        <v>429</v>
      </c>
      <c r="B406" s="2">
        <v>46258</v>
      </c>
      <c r="C406" s="3">
        <v>0.46</v>
      </c>
      <c r="D406" s="3">
        <v>1.83</v>
      </c>
      <c r="E406" s="3">
        <v>2.97</v>
      </c>
      <c r="F406" s="4">
        <v>1</v>
      </c>
      <c r="G406" s="5">
        <v>43399.66</v>
      </c>
      <c r="H406" t="s">
        <v>13</v>
      </c>
      <c r="I406" t="s">
        <v>20</v>
      </c>
      <c r="J406" t="s">
        <v>18</v>
      </c>
      <c r="L406" s="3">
        <f t="shared" si="41"/>
        <v>5.26</v>
      </c>
      <c r="M406" s="3">
        <f t="shared" si="36"/>
        <v>5.26</v>
      </c>
      <c r="N406" t="b">
        <f t="shared" si="37"/>
        <v>0</v>
      </c>
      <c r="O406">
        <f t="shared" si="38"/>
        <v>1</v>
      </c>
      <c r="P406" s="3">
        <f t="shared" si="39"/>
        <v>0</v>
      </c>
      <c r="Q406" t="str">
        <f t="shared" si="40"/>
        <v>Correct</v>
      </c>
    </row>
    <row r="407" spans="1:17" x14ac:dyDescent="0.3">
      <c r="A407" t="s">
        <v>430</v>
      </c>
      <c r="B407" s="2">
        <v>46284</v>
      </c>
      <c r="C407" s="3">
        <v>2.04</v>
      </c>
      <c r="D407" s="3">
        <v>5.86</v>
      </c>
      <c r="E407" s="3">
        <v>4.9400000000000004</v>
      </c>
      <c r="F407" s="4">
        <v>0</v>
      </c>
      <c r="G407" s="5">
        <v>15136.99</v>
      </c>
      <c r="H407" t="s">
        <v>24</v>
      </c>
      <c r="I407" t="s">
        <v>20</v>
      </c>
      <c r="J407" t="s">
        <v>18</v>
      </c>
      <c r="L407" s="3">
        <f t="shared" si="41"/>
        <v>12.84</v>
      </c>
      <c r="M407" s="3">
        <f t="shared" si="36"/>
        <v>12.84</v>
      </c>
      <c r="N407" t="b">
        <f t="shared" si="37"/>
        <v>0</v>
      </c>
      <c r="O407">
        <f t="shared" si="38"/>
        <v>1</v>
      </c>
      <c r="P407" s="3">
        <f t="shared" si="39"/>
        <v>0</v>
      </c>
      <c r="Q407" t="str">
        <f t="shared" si="40"/>
        <v>Correct</v>
      </c>
    </row>
    <row r="408" spans="1:17" x14ac:dyDescent="0.3">
      <c r="A408" t="s">
        <v>431</v>
      </c>
      <c r="B408" s="2">
        <v>46257</v>
      </c>
      <c r="C408" s="3">
        <v>2.52</v>
      </c>
      <c r="D408" s="3">
        <v>3.61</v>
      </c>
      <c r="E408" s="3">
        <v>5.62</v>
      </c>
      <c r="F408" s="4">
        <v>0</v>
      </c>
      <c r="G408" s="5">
        <v>13431.13</v>
      </c>
      <c r="H408" t="s">
        <v>24</v>
      </c>
      <c r="I408" t="s">
        <v>17</v>
      </c>
      <c r="J408" t="s">
        <v>18</v>
      </c>
      <c r="L408" s="3">
        <f t="shared" si="41"/>
        <v>11.75</v>
      </c>
      <c r="M408" s="3">
        <f t="shared" si="36"/>
        <v>11.75</v>
      </c>
      <c r="N408" t="b">
        <f t="shared" si="37"/>
        <v>0</v>
      </c>
      <c r="O408">
        <f t="shared" si="38"/>
        <v>1</v>
      </c>
      <c r="P408" s="3">
        <f t="shared" si="39"/>
        <v>0</v>
      </c>
      <c r="Q408" t="str">
        <f t="shared" si="40"/>
        <v>Correct</v>
      </c>
    </row>
    <row r="409" spans="1:17" x14ac:dyDescent="0.3">
      <c r="A409" t="s">
        <v>432</v>
      </c>
      <c r="B409" s="2">
        <v>46277</v>
      </c>
      <c r="C409" s="3">
        <v>2.17</v>
      </c>
      <c r="D409" s="3">
        <v>14.22</v>
      </c>
      <c r="E409" s="3">
        <v>1.04</v>
      </c>
      <c r="F409" s="4">
        <v>0</v>
      </c>
      <c r="G409" s="5">
        <v>10140.77</v>
      </c>
      <c r="H409" t="s">
        <v>24</v>
      </c>
      <c r="I409" t="s">
        <v>20</v>
      </c>
      <c r="J409" t="s">
        <v>18</v>
      </c>
      <c r="L409" s="3">
        <f t="shared" si="41"/>
        <v>17.43</v>
      </c>
      <c r="M409" s="3">
        <f t="shared" si="36"/>
        <v>17.43</v>
      </c>
      <c r="N409" t="b">
        <f t="shared" si="37"/>
        <v>0</v>
      </c>
      <c r="O409">
        <f t="shared" si="38"/>
        <v>1</v>
      </c>
      <c r="P409" s="3">
        <f t="shared" si="39"/>
        <v>0</v>
      </c>
      <c r="Q409" t="str">
        <f t="shared" si="40"/>
        <v>Correct</v>
      </c>
    </row>
    <row r="410" spans="1:17" x14ac:dyDescent="0.3">
      <c r="A410" t="s">
        <v>433</v>
      </c>
      <c r="B410" s="2">
        <v>46262</v>
      </c>
      <c r="C410" s="3">
        <v>2.38</v>
      </c>
      <c r="D410" s="3">
        <v>2.25</v>
      </c>
      <c r="E410" s="3">
        <v>2.33</v>
      </c>
      <c r="F410" s="4">
        <v>0</v>
      </c>
      <c r="G410" s="5">
        <v>6342.2</v>
      </c>
      <c r="H410" t="s">
        <v>24</v>
      </c>
      <c r="I410" t="s">
        <v>26</v>
      </c>
      <c r="J410" t="s">
        <v>18</v>
      </c>
      <c r="L410" s="3">
        <f t="shared" si="41"/>
        <v>6.96</v>
      </c>
      <c r="M410" s="3">
        <f t="shared" si="36"/>
        <v>6.96</v>
      </c>
      <c r="N410" t="b">
        <f t="shared" si="37"/>
        <v>0</v>
      </c>
      <c r="O410">
        <f t="shared" si="38"/>
        <v>1</v>
      </c>
      <c r="P410" s="3">
        <f t="shared" si="39"/>
        <v>0</v>
      </c>
      <c r="Q410" t="str">
        <f t="shared" si="40"/>
        <v>Correct</v>
      </c>
    </row>
    <row r="411" spans="1:17" x14ac:dyDescent="0.3">
      <c r="A411" t="s">
        <v>434</v>
      </c>
      <c r="B411" s="2">
        <v>46236</v>
      </c>
      <c r="C411" s="3">
        <v>1.55</v>
      </c>
      <c r="D411" s="3">
        <v>4.1900000000000004</v>
      </c>
      <c r="E411" s="3">
        <v>0.36</v>
      </c>
      <c r="F411" s="4">
        <v>0</v>
      </c>
      <c r="G411" s="5">
        <v>10272.43</v>
      </c>
      <c r="H411" t="s">
        <v>24</v>
      </c>
      <c r="I411" t="s">
        <v>20</v>
      </c>
      <c r="J411" t="s">
        <v>18</v>
      </c>
      <c r="L411" s="3">
        <f t="shared" si="41"/>
        <v>6.1000000000000005</v>
      </c>
      <c r="M411" s="3">
        <f t="shared" si="36"/>
        <v>6.1000000000000005</v>
      </c>
      <c r="N411" t="b">
        <f t="shared" si="37"/>
        <v>0</v>
      </c>
      <c r="O411">
        <f t="shared" si="38"/>
        <v>1</v>
      </c>
      <c r="P411" s="3">
        <f t="shared" si="39"/>
        <v>0</v>
      </c>
      <c r="Q411" t="str">
        <f t="shared" si="40"/>
        <v>Correct</v>
      </c>
    </row>
    <row r="412" spans="1:17" x14ac:dyDescent="0.3">
      <c r="A412" t="s">
        <v>435</v>
      </c>
      <c r="B412" s="2">
        <v>46266</v>
      </c>
      <c r="C412" s="3">
        <v>1.58</v>
      </c>
      <c r="D412" s="3">
        <v>5.17</v>
      </c>
      <c r="E412" s="3">
        <v>4.75</v>
      </c>
      <c r="F412" s="4">
        <v>0</v>
      </c>
      <c r="G412" s="5">
        <v>40369.57</v>
      </c>
      <c r="H412" t="s">
        <v>13</v>
      </c>
      <c r="I412" t="s">
        <v>14</v>
      </c>
      <c r="J412" t="s">
        <v>18</v>
      </c>
      <c r="L412" s="3">
        <f t="shared" si="41"/>
        <v>11.5</v>
      </c>
      <c r="M412" s="3">
        <f t="shared" si="36"/>
        <v>11.5</v>
      </c>
      <c r="N412" t="b">
        <f t="shared" si="37"/>
        <v>0</v>
      </c>
      <c r="O412">
        <f t="shared" si="38"/>
        <v>1</v>
      </c>
      <c r="P412" s="3">
        <f t="shared" si="39"/>
        <v>0</v>
      </c>
      <c r="Q412" t="str">
        <f t="shared" si="40"/>
        <v>Correct</v>
      </c>
    </row>
    <row r="413" spans="1:17" x14ac:dyDescent="0.3">
      <c r="A413" t="s">
        <v>436</v>
      </c>
      <c r="B413" s="2">
        <v>46237</v>
      </c>
      <c r="C413" s="3">
        <v>1.52</v>
      </c>
      <c r="D413" s="3">
        <v>2.37</v>
      </c>
      <c r="E413" s="3">
        <v>4.4000000000000004</v>
      </c>
      <c r="F413" s="4">
        <v>1</v>
      </c>
      <c r="G413" s="5">
        <v>67685.600000000006</v>
      </c>
      <c r="H413" t="s">
        <v>13</v>
      </c>
      <c r="I413" t="s">
        <v>14</v>
      </c>
      <c r="J413" t="s">
        <v>18</v>
      </c>
      <c r="L413" s="3">
        <f t="shared" si="41"/>
        <v>8.2900000000000009</v>
      </c>
      <c r="M413" s="3">
        <f t="shared" si="36"/>
        <v>8.2900000000000009</v>
      </c>
      <c r="N413" t="b">
        <f t="shared" si="37"/>
        <v>0</v>
      </c>
      <c r="O413">
        <f t="shared" si="38"/>
        <v>1</v>
      </c>
      <c r="P413" s="3">
        <f t="shared" si="39"/>
        <v>0</v>
      </c>
      <c r="Q413" t="str">
        <f t="shared" si="40"/>
        <v>Correct</v>
      </c>
    </row>
    <row r="414" spans="1:17" x14ac:dyDescent="0.3">
      <c r="A414" t="s">
        <v>437</v>
      </c>
      <c r="B414" s="2">
        <v>46290</v>
      </c>
      <c r="C414" s="3">
        <v>1.1100000000000001</v>
      </c>
      <c r="D414" s="3">
        <v>4.68</v>
      </c>
      <c r="E414" s="3">
        <v>2.2000000000000002</v>
      </c>
      <c r="F414" s="4">
        <v>1</v>
      </c>
      <c r="G414" s="5">
        <v>10002.959999999999</v>
      </c>
      <c r="H414" t="s">
        <v>13</v>
      </c>
      <c r="I414" t="s">
        <v>26</v>
      </c>
      <c r="J414" t="s">
        <v>18</v>
      </c>
      <c r="L414" s="3">
        <f t="shared" si="41"/>
        <v>7.99</v>
      </c>
      <c r="M414" s="3">
        <f t="shared" si="36"/>
        <v>7.99</v>
      </c>
      <c r="N414" t="b">
        <f t="shared" si="37"/>
        <v>0</v>
      </c>
      <c r="O414">
        <f t="shared" si="38"/>
        <v>1</v>
      </c>
      <c r="P414" s="3">
        <f t="shared" si="39"/>
        <v>0</v>
      </c>
      <c r="Q414" t="str">
        <f t="shared" si="40"/>
        <v>Correct</v>
      </c>
    </row>
    <row r="415" spans="1:17" x14ac:dyDescent="0.3">
      <c r="A415" t="s">
        <v>438</v>
      </c>
      <c r="B415" s="2">
        <v>46271</v>
      </c>
      <c r="C415" s="3">
        <v>1.23</v>
      </c>
      <c r="D415" s="3">
        <v>4.6399999999999997</v>
      </c>
      <c r="E415" s="3">
        <v>4.12</v>
      </c>
      <c r="F415" s="4">
        <v>1</v>
      </c>
      <c r="G415" s="5">
        <v>87094.48</v>
      </c>
      <c r="H415" t="s">
        <v>13</v>
      </c>
      <c r="I415" t="s">
        <v>20</v>
      </c>
      <c r="J415" t="s">
        <v>21</v>
      </c>
      <c r="K415" t="s">
        <v>22</v>
      </c>
      <c r="L415" s="3">
        <f t="shared" si="41"/>
        <v>9.9899999999999984</v>
      </c>
      <c r="M415" s="3">
        <f t="shared" si="36"/>
        <v>9.9899999999999984</v>
      </c>
      <c r="N415" t="b">
        <f t="shared" si="37"/>
        <v>0</v>
      </c>
      <c r="O415">
        <f t="shared" si="38"/>
        <v>0</v>
      </c>
      <c r="P415" s="3">
        <f t="shared" si="39"/>
        <v>0</v>
      </c>
      <c r="Q415" t="str">
        <f t="shared" si="40"/>
        <v>Correct</v>
      </c>
    </row>
    <row r="416" spans="1:17" x14ac:dyDescent="0.3">
      <c r="A416" t="s">
        <v>439</v>
      </c>
      <c r="B416" s="2">
        <v>46257</v>
      </c>
      <c r="C416" s="3">
        <v>2.44</v>
      </c>
      <c r="D416" s="3">
        <v>9.5399999999999991</v>
      </c>
      <c r="E416" s="3">
        <v>2.64</v>
      </c>
      <c r="F416" s="4">
        <v>1</v>
      </c>
      <c r="G416" s="5">
        <v>44635.47</v>
      </c>
      <c r="H416" t="s">
        <v>13</v>
      </c>
      <c r="I416" t="s">
        <v>26</v>
      </c>
      <c r="J416" t="s">
        <v>18</v>
      </c>
      <c r="L416" s="3">
        <f t="shared" si="41"/>
        <v>14.62</v>
      </c>
      <c r="M416" s="3">
        <f t="shared" si="36"/>
        <v>14.62</v>
      </c>
      <c r="N416" t="b">
        <f t="shared" si="37"/>
        <v>0</v>
      </c>
      <c r="O416">
        <f t="shared" si="38"/>
        <v>1</v>
      </c>
      <c r="P416" s="3">
        <f t="shared" si="39"/>
        <v>0</v>
      </c>
      <c r="Q416" t="str">
        <f t="shared" si="40"/>
        <v>Correct</v>
      </c>
    </row>
    <row r="417" spans="1:17" x14ac:dyDescent="0.3">
      <c r="A417" t="s">
        <v>440</v>
      </c>
      <c r="B417" s="2">
        <v>46264</v>
      </c>
      <c r="C417" s="3">
        <v>4.26</v>
      </c>
      <c r="D417" s="3">
        <v>6.99</v>
      </c>
      <c r="E417" s="3">
        <v>1.3</v>
      </c>
      <c r="F417" s="4">
        <v>0</v>
      </c>
      <c r="G417" s="5">
        <v>65697.350000000006</v>
      </c>
      <c r="H417" t="s">
        <v>13</v>
      </c>
      <c r="I417" t="s">
        <v>26</v>
      </c>
      <c r="J417" t="s">
        <v>18</v>
      </c>
      <c r="L417" s="3">
        <f t="shared" si="41"/>
        <v>12.55</v>
      </c>
      <c r="M417" s="3">
        <f t="shared" si="36"/>
        <v>12.55</v>
      </c>
      <c r="N417" t="b">
        <f t="shared" si="37"/>
        <v>0</v>
      </c>
      <c r="O417">
        <f t="shared" si="38"/>
        <v>1</v>
      </c>
      <c r="P417" s="3">
        <f t="shared" si="39"/>
        <v>0</v>
      </c>
      <c r="Q417" t="str">
        <f t="shared" si="40"/>
        <v>Correct</v>
      </c>
    </row>
    <row r="418" spans="1:17" x14ac:dyDescent="0.3">
      <c r="A418" t="s">
        <v>441</v>
      </c>
      <c r="B418" s="2">
        <v>46272</v>
      </c>
      <c r="C418" s="3">
        <v>0.73</v>
      </c>
      <c r="D418" s="3">
        <v>5.8</v>
      </c>
      <c r="E418" s="3">
        <v>0.4</v>
      </c>
      <c r="F418" s="4">
        <v>0</v>
      </c>
      <c r="G418" s="5">
        <v>10445.23</v>
      </c>
      <c r="H418" t="s">
        <v>24</v>
      </c>
      <c r="I418" t="s">
        <v>26</v>
      </c>
      <c r="J418" t="s">
        <v>18</v>
      </c>
      <c r="L418" s="3">
        <f t="shared" si="41"/>
        <v>6.93</v>
      </c>
      <c r="M418" s="3">
        <f t="shared" si="36"/>
        <v>6.93</v>
      </c>
      <c r="N418" t="b">
        <f t="shared" si="37"/>
        <v>0</v>
      </c>
      <c r="O418">
        <f t="shared" si="38"/>
        <v>1</v>
      </c>
      <c r="P418" s="3">
        <f t="shared" si="39"/>
        <v>0</v>
      </c>
      <c r="Q418" t="str">
        <f t="shared" si="40"/>
        <v>Correct</v>
      </c>
    </row>
    <row r="419" spans="1:17" x14ac:dyDescent="0.3">
      <c r="A419" t="s">
        <v>442</v>
      </c>
      <c r="B419" s="2">
        <v>46250</v>
      </c>
      <c r="C419" s="3">
        <v>1.57</v>
      </c>
      <c r="D419" s="3">
        <v>6.97</v>
      </c>
      <c r="E419" s="3">
        <v>8.3800000000000008</v>
      </c>
      <c r="F419" s="4">
        <v>2</v>
      </c>
      <c r="G419" s="5">
        <v>35804</v>
      </c>
      <c r="H419" t="s">
        <v>24</v>
      </c>
      <c r="I419" t="s">
        <v>14</v>
      </c>
      <c r="J419" t="s">
        <v>18</v>
      </c>
      <c r="L419" s="3">
        <f t="shared" si="41"/>
        <v>16.920000000000002</v>
      </c>
      <c r="M419" s="3">
        <f t="shared" si="36"/>
        <v>16.920000000000002</v>
      </c>
      <c r="N419" t="b">
        <f t="shared" si="37"/>
        <v>0</v>
      </c>
      <c r="O419">
        <f t="shared" si="38"/>
        <v>1</v>
      </c>
      <c r="P419" s="3">
        <f t="shared" si="39"/>
        <v>0</v>
      </c>
      <c r="Q419" t="str">
        <f t="shared" si="40"/>
        <v>Correct</v>
      </c>
    </row>
    <row r="420" spans="1:17" x14ac:dyDescent="0.3">
      <c r="A420" t="s">
        <v>443</v>
      </c>
      <c r="B420" s="2">
        <v>46252</v>
      </c>
      <c r="C420" s="3">
        <v>0.59</v>
      </c>
      <c r="D420" s="3">
        <v>5.86</v>
      </c>
      <c r="E420" s="3">
        <v>2.39</v>
      </c>
      <c r="F420" s="4">
        <v>1</v>
      </c>
      <c r="G420" s="5">
        <v>8039.15</v>
      </c>
      <c r="H420" t="s">
        <v>24</v>
      </c>
      <c r="I420" t="s">
        <v>26</v>
      </c>
      <c r="J420" t="s">
        <v>18</v>
      </c>
      <c r="L420" s="3">
        <f t="shared" si="41"/>
        <v>8.84</v>
      </c>
      <c r="M420" s="3">
        <f t="shared" si="36"/>
        <v>8.84</v>
      </c>
      <c r="N420" t="b">
        <f t="shared" si="37"/>
        <v>0</v>
      </c>
      <c r="O420">
        <f t="shared" si="38"/>
        <v>1</v>
      </c>
      <c r="P420" s="3">
        <f t="shared" si="39"/>
        <v>0</v>
      </c>
      <c r="Q420" t="str">
        <f t="shared" si="40"/>
        <v>Correct</v>
      </c>
    </row>
    <row r="421" spans="1:17" x14ac:dyDescent="0.3">
      <c r="A421" t="s">
        <v>444</v>
      </c>
      <c r="B421" s="2">
        <v>46260</v>
      </c>
      <c r="C421" s="3">
        <v>1.1299999999999999</v>
      </c>
      <c r="D421" s="3">
        <v>4.67</v>
      </c>
      <c r="E421" s="3">
        <v>2.66</v>
      </c>
      <c r="F421" s="4">
        <v>0</v>
      </c>
      <c r="G421" s="5">
        <v>11828.29</v>
      </c>
      <c r="H421" t="s">
        <v>24</v>
      </c>
      <c r="I421" t="s">
        <v>20</v>
      </c>
      <c r="J421" t="s">
        <v>18</v>
      </c>
      <c r="L421" s="3">
        <f t="shared" si="41"/>
        <v>8.4600000000000009</v>
      </c>
      <c r="M421" s="3">
        <f t="shared" si="36"/>
        <v>8.4600000000000009</v>
      </c>
      <c r="N421" t="b">
        <f t="shared" si="37"/>
        <v>0</v>
      </c>
      <c r="O421">
        <f t="shared" si="38"/>
        <v>1</v>
      </c>
      <c r="P421" s="3">
        <f t="shared" si="39"/>
        <v>0</v>
      </c>
      <c r="Q421" t="str">
        <f t="shared" si="40"/>
        <v>Correct</v>
      </c>
    </row>
    <row r="422" spans="1:17" x14ac:dyDescent="0.3">
      <c r="A422" t="s">
        <v>445</v>
      </c>
      <c r="B422" s="2">
        <v>46250</v>
      </c>
      <c r="C422" s="3">
        <v>1.29</v>
      </c>
      <c r="D422" s="3">
        <v>2.33</v>
      </c>
      <c r="E422" s="3">
        <v>5.01</v>
      </c>
      <c r="F422" s="4">
        <v>1</v>
      </c>
      <c r="G422" s="5">
        <v>6378.3</v>
      </c>
      <c r="H422" t="s">
        <v>24</v>
      </c>
      <c r="I422" t="s">
        <v>14</v>
      </c>
      <c r="J422" t="s">
        <v>18</v>
      </c>
      <c r="L422" s="3">
        <f t="shared" si="41"/>
        <v>8.629999999999999</v>
      </c>
      <c r="M422" s="3">
        <f t="shared" si="36"/>
        <v>8.629999999999999</v>
      </c>
      <c r="N422" t="b">
        <f t="shared" si="37"/>
        <v>0</v>
      </c>
      <c r="O422">
        <f t="shared" si="38"/>
        <v>1</v>
      </c>
      <c r="P422" s="3">
        <f t="shared" si="39"/>
        <v>0</v>
      </c>
      <c r="Q422" t="str">
        <f t="shared" si="40"/>
        <v>Correct</v>
      </c>
    </row>
    <row r="423" spans="1:17" x14ac:dyDescent="0.3">
      <c r="A423" t="s">
        <v>446</v>
      </c>
      <c r="B423" s="2">
        <v>46280</v>
      </c>
      <c r="C423" s="3">
        <v>1.94</v>
      </c>
      <c r="D423" s="3">
        <v>6.03</v>
      </c>
      <c r="E423" s="3">
        <v>7.01</v>
      </c>
      <c r="F423" s="4">
        <v>1</v>
      </c>
      <c r="G423" s="5">
        <v>65938.87</v>
      </c>
      <c r="H423" t="s">
        <v>13</v>
      </c>
      <c r="I423" t="s">
        <v>26</v>
      </c>
      <c r="J423" t="s">
        <v>18</v>
      </c>
      <c r="L423" s="3">
        <f t="shared" si="41"/>
        <v>14.98</v>
      </c>
      <c r="M423" s="3">
        <f t="shared" si="36"/>
        <v>14.98</v>
      </c>
      <c r="N423" t="b">
        <f t="shared" si="37"/>
        <v>0</v>
      </c>
      <c r="O423">
        <f t="shared" si="38"/>
        <v>1</v>
      </c>
      <c r="P423" s="3">
        <f t="shared" si="39"/>
        <v>0</v>
      </c>
      <c r="Q423" t="str">
        <f t="shared" si="40"/>
        <v>Correct</v>
      </c>
    </row>
    <row r="424" spans="1:17" x14ac:dyDescent="0.3">
      <c r="A424" t="s">
        <v>447</v>
      </c>
      <c r="B424" s="2">
        <v>46241</v>
      </c>
      <c r="C424" s="3">
        <v>1.9</v>
      </c>
      <c r="D424" s="3">
        <v>2</v>
      </c>
      <c r="E424" s="3">
        <v>2.73</v>
      </c>
      <c r="F424" s="4">
        <v>0</v>
      </c>
      <c r="G424" s="5">
        <v>11349.33</v>
      </c>
      <c r="H424" t="s">
        <v>24</v>
      </c>
      <c r="I424" t="s">
        <v>26</v>
      </c>
      <c r="J424" t="s">
        <v>18</v>
      </c>
      <c r="L424" s="3">
        <f t="shared" si="41"/>
        <v>6.63</v>
      </c>
      <c r="M424" s="3">
        <f t="shared" si="36"/>
        <v>6.63</v>
      </c>
      <c r="N424" t="b">
        <f t="shared" si="37"/>
        <v>0</v>
      </c>
      <c r="O424">
        <f t="shared" si="38"/>
        <v>1</v>
      </c>
      <c r="P424" s="3">
        <f t="shared" si="39"/>
        <v>0</v>
      </c>
      <c r="Q424" t="str">
        <f t="shared" si="40"/>
        <v>Correct</v>
      </c>
    </row>
    <row r="425" spans="1:17" x14ac:dyDescent="0.3">
      <c r="A425" t="s">
        <v>448</v>
      </c>
      <c r="B425" s="2">
        <v>46284</v>
      </c>
      <c r="C425" s="3">
        <v>1.67</v>
      </c>
      <c r="D425" s="3">
        <v>3.66</v>
      </c>
      <c r="E425" s="3">
        <v>2.78</v>
      </c>
      <c r="F425" s="4">
        <v>1</v>
      </c>
      <c r="G425" s="5">
        <v>15763.73</v>
      </c>
      <c r="H425" t="s">
        <v>24</v>
      </c>
      <c r="I425" t="s">
        <v>26</v>
      </c>
      <c r="J425" t="s">
        <v>18</v>
      </c>
      <c r="L425" s="3">
        <f t="shared" si="41"/>
        <v>8.11</v>
      </c>
      <c r="M425" s="3">
        <f t="shared" si="36"/>
        <v>8.11</v>
      </c>
      <c r="N425" t="b">
        <f t="shared" si="37"/>
        <v>0</v>
      </c>
      <c r="O425">
        <f t="shared" si="38"/>
        <v>1</v>
      </c>
      <c r="P425" s="3">
        <f t="shared" si="39"/>
        <v>0</v>
      </c>
      <c r="Q425" t="str">
        <f t="shared" si="40"/>
        <v>Correct</v>
      </c>
    </row>
    <row r="426" spans="1:17" x14ac:dyDescent="0.3">
      <c r="A426" t="s">
        <v>449</v>
      </c>
      <c r="B426" s="2">
        <v>46255</v>
      </c>
      <c r="C426" s="3">
        <v>2.29</v>
      </c>
      <c r="D426" s="3">
        <v>3.32</v>
      </c>
      <c r="E426" s="3">
        <v>2.82</v>
      </c>
      <c r="F426" s="4">
        <v>0</v>
      </c>
      <c r="G426" s="5">
        <v>11795.84</v>
      </c>
      <c r="H426" t="s">
        <v>24</v>
      </c>
      <c r="I426" t="s">
        <v>14</v>
      </c>
      <c r="J426" t="s">
        <v>18</v>
      </c>
      <c r="L426" s="3">
        <f t="shared" si="41"/>
        <v>8.43</v>
      </c>
      <c r="M426" s="3">
        <f t="shared" si="36"/>
        <v>8.43</v>
      </c>
      <c r="N426" t="b">
        <f t="shared" si="37"/>
        <v>0</v>
      </c>
      <c r="O426">
        <f t="shared" si="38"/>
        <v>1</v>
      </c>
      <c r="P426" s="3">
        <f t="shared" si="39"/>
        <v>0</v>
      </c>
      <c r="Q426" t="str">
        <f t="shared" si="40"/>
        <v>Correct</v>
      </c>
    </row>
    <row r="427" spans="1:17" x14ac:dyDescent="0.3">
      <c r="A427" t="s">
        <v>450</v>
      </c>
      <c r="B427" s="2">
        <v>46268</v>
      </c>
      <c r="C427" s="3">
        <v>0.8</v>
      </c>
      <c r="D427" s="3">
        <v>3.48</v>
      </c>
      <c r="E427" s="3">
        <v>2.7</v>
      </c>
      <c r="F427" s="4">
        <v>1</v>
      </c>
      <c r="G427" s="5">
        <v>19781.71</v>
      </c>
      <c r="H427" t="s">
        <v>24</v>
      </c>
      <c r="I427" t="s">
        <v>20</v>
      </c>
      <c r="J427" t="s">
        <v>18</v>
      </c>
      <c r="L427" s="3">
        <f t="shared" si="41"/>
        <v>6.98</v>
      </c>
      <c r="M427" s="3">
        <f t="shared" si="36"/>
        <v>6.98</v>
      </c>
      <c r="N427" t="b">
        <f t="shared" si="37"/>
        <v>0</v>
      </c>
      <c r="O427">
        <f t="shared" si="38"/>
        <v>1</v>
      </c>
      <c r="P427" s="3">
        <f t="shared" si="39"/>
        <v>0</v>
      </c>
      <c r="Q427" t="str">
        <f t="shared" si="40"/>
        <v>Correct</v>
      </c>
    </row>
    <row r="428" spans="1:17" x14ac:dyDescent="0.3">
      <c r="A428" t="s">
        <v>451</v>
      </c>
      <c r="B428" s="2">
        <v>46244</v>
      </c>
      <c r="C428" s="3">
        <v>1.95</v>
      </c>
      <c r="D428" s="3">
        <v>1.36</v>
      </c>
      <c r="E428" s="3">
        <v>1.1200000000000001</v>
      </c>
      <c r="F428" s="4">
        <v>0</v>
      </c>
      <c r="G428" s="5">
        <v>9393.4599999999991</v>
      </c>
      <c r="H428" t="s">
        <v>24</v>
      </c>
      <c r="I428" t="s">
        <v>26</v>
      </c>
      <c r="J428" t="s">
        <v>18</v>
      </c>
      <c r="L428" s="3">
        <f t="shared" si="41"/>
        <v>4.43</v>
      </c>
      <c r="M428" s="3">
        <f t="shared" si="36"/>
        <v>4.43</v>
      </c>
      <c r="N428" t="b">
        <f t="shared" si="37"/>
        <v>0</v>
      </c>
      <c r="O428">
        <f t="shared" si="38"/>
        <v>1</v>
      </c>
      <c r="P428" s="3">
        <f t="shared" si="39"/>
        <v>0</v>
      </c>
      <c r="Q428" t="str">
        <f t="shared" si="40"/>
        <v>Correct</v>
      </c>
    </row>
    <row r="429" spans="1:17" x14ac:dyDescent="0.3">
      <c r="A429" t="s">
        <v>452</v>
      </c>
      <c r="B429" s="2">
        <v>46258</v>
      </c>
      <c r="C429" s="3">
        <v>2.87</v>
      </c>
      <c r="D429" s="3">
        <v>0.25</v>
      </c>
      <c r="E429" s="3">
        <v>2.1</v>
      </c>
      <c r="F429" s="4">
        <v>0</v>
      </c>
      <c r="G429" s="5">
        <v>47890.71</v>
      </c>
      <c r="H429" t="s">
        <v>13</v>
      </c>
      <c r="I429" t="s">
        <v>20</v>
      </c>
      <c r="J429" t="s">
        <v>18</v>
      </c>
      <c r="L429" s="3">
        <f t="shared" si="41"/>
        <v>5.2200000000000006</v>
      </c>
      <c r="M429" s="3">
        <f t="shared" si="36"/>
        <v>5.2200000000000006</v>
      </c>
      <c r="N429" t="b">
        <f t="shared" si="37"/>
        <v>0</v>
      </c>
      <c r="O429">
        <f t="shared" si="38"/>
        <v>1</v>
      </c>
      <c r="P429" s="3">
        <f t="shared" si="39"/>
        <v>0</v>
      </c>
      <c r="Q429" t="str">
        <f t="shared" si="40"/>
        <v>Correct</v>
      </c>
    </row>
    <row r="430" spans="1:17" x14ac:dyDescent="0.3">
      <c r="A430" t="s">
        <v>453</v>
      </c>
      <c r="B430" s="2">
        <v>46280</v>
      </c>
      <c r="C430" s="3">
        <v>0.79</v>
      </c>
      <c r="D430" s="3">
        <v>2.89</v>
      </c>
      <c r="E430" s="3">
        <v>0.25</v>
      </c>
      <c r="F430" s="4">
        <v>0</v>
      </c>
      <c r="G430" s="5">
        <v>43791.360000000001</v>
      </c>
      <c r="H430" t="s">
        <v>24</v>
      </c>
      <c r="I430" t="s">
        <v>26</v>
      </c>
      <c r="J430" t="s">
        <v>18</v>
      </c>
      <c r="L430" s="3">
        <f t="shared" si="41"/>
        <v>3.93</v>
      </c>
      <c r="M430" s="3">
        <f t="shared" si="36"/>
        <v>3.93</v>
      </c>
      <c r="N430" t="b">
        <f t="shared" si="37"/>
        <v>0</v>
      </c>
      <c r="O430">
        <f t="shared" si="38"/>
        <v>1</v>
      </c>
      <c r="P430" s="3">
        <f t="shared" si="39"/>
        <v>0</v>
      </c>
      <c r="Q430" t="str">
        <f t="shared" si="40"/>
        <v>Correct</v>
      </c>
    </row>
    <row r="431" spans="1:17" x14ac:dyDescent="0.3">
      <c r="A431" t="s">
        <v>454</v>
      </c>
      <c r="B431" s="2">
        <v>46251</v>
      </c>
      <c r="C431" s="3">
        <v>0.28000000000000003</v>
      </c>
      <c r="D431" s="3">
        <v>10.85</v>
      </c>
      <c r="E431" s="3">
        <v>1.5</v>
      </c>
      <c r="F431" s="4">
        <v>0</v>
      </c>
      <c r="G431" s="5">
        <v>51876.27</v>
      </c>
      <c r="H431" t="s">
        <v>13</v>
      </c>
      <c r="I431" t="s">
        <v>20</v>
      </c>
      <c r="J431" t="s">
        <v>18</v>
      </c>
      <c r="L431" s="3">
        <f t="shared" si="41"/>
        <v>12.629999999999999</v>
      </c>
      <c r="M431" s="3">
        <f t="shared" si="36"/>
        <v>12.629999999999999</v>
      </c>
      <c r="N431" t="b">
        <f t="shared" si="37"/>
        <v>0</v>
      </c>
      <c r="O431">
        <f t="shared" si="38"/>
        <v>1</v>
      </c>
      <c r="P431" s="3">
        <f t="shared" si="39"/>
        <v>0</v>
      </c>
      <c r="Q431" t="str">
        <f t="shared" si="40"/>
        <v>Correct</v>
      </c>
    </row>
    <row r="432" spans="1:17" x14ac:dyDescent="0.3">
      <c r="A432" t="s">
        <v>455</v>
      </c>
      <c r="B432" s="2">
        <v>46242</v>
      </c>
      <c r="C432" s="3">
        <v>3.42</v>
      </c>
      <c r="D432" s="3">
        <v>4.1500000000000004</v>
      </c>
      <c r="E432" s="3">
        <v>3.16</v>
      </c>
      <c r="F432" s="4">
        <v>1</v>
      </c>
      <c r="G432" s="5">
        <v>6662.73</v>
      </c>
      <c r="H432" t="s">
        <v>24</v>
      </c>
      <c r="I432" t="s">
        <v>20</v>
      </c>
      <c r="J432" t="s">
        <v>21</v>
      </c>
      <c r="K432" t="s">
        <v>163</v>
      </c>
      <c r="L432" s="3">
        <f t="shared" si="41"/>
        <v>10.73</v>
      </c>
      <c r="M432" s="3">
        <f t="shared" si="36"/>
        <v>10.73</v>
      </c>
      <c r="N432" t="b">
        <f t="shared" si="37"/>
        <v>0</v>
      </c>
      <c r="O432">
        <f t="shared" si="38"/>
        <v>0</v>
      </c>
      <c r="P432" s="3">
        <f t="shared" si="39"/>
        <v>0</v>
      </c>
      <c r="Q432" t="str">
        <f t="shared" si="40"/>
        <v>Correct</v>
      </c>
    </row>
    <row r="433" spans="1:17" x14ac:dyDescent="0.3">
      <c r="A433" t="s">
        <v>456</v>
      </c>
      <c r="B433" s="2">
        <v>46266</v>
      </c>
      <c r="C433" s="3">
        <v>0.61</v>
      </c>
      <c r="D433" s="3">
        <v>7.66</v>
      </c>
      <c r="E433" s="3">
        <v>10.15</v>
      </c>
      <c r="F433" s="4">
        <v>1</v>
      </c>
      <c r="G433" s="5">
        <v>6755.79</v>
      </c>
      <c r="H433" t="s">
        <v>24</v>
      </c>
      <c r="I433" t="s">
        <v>14</v>
      </c>
      <c r="J433" t="s">
        <v>18</v>
      </c>
      <c r="L433" s="3">
        <f t="shared" si="41"/>
        <v>18.420000000000002</v>
      </c>
      <c r="M433" s="3">
        <f t="shared" si="36"/>
        <v>18.420000000000002</v>
      </c>
      <c r="N433" t="b">
        <f t="shared" si="37"/>
        <v>0</v>
      </c>
      <c r="O433">
        <f t="shared" si="38"/>
        <v>1</v>
      </c>
      <c r="P433" s="3">
        <f t="shared" si="39"/>
        <v>0</v>
      </c>
      <c r="Q433" t="str">
        <f t="shared" si="40"/>
        <v>Correct</v>
      </c>
    </row>
    <row r="434" spans="1:17" x14ac:dyDescent="0.3">
      <c r="A434" t="s">
        <v>457</v>
      </c>
      <c r="B434" s="2">
        <v>46244</v>
      </c>
      <c r="C434" s="3">
        <v>1.08</v>
      </c>
      <c r="D434" s="3">
        <v>2.0099999999999998</v>
      </c>
      <c r="E434" s="3">
        <v>6.13</v>
      </c>
      <c r="F434" s="4">
        <v>0</v>
      </c>
      <c r="G434" s="5">
        <v>5893.03</v>
      </c>
      <c r="H434" t="s">
        <v>24</v>
      </c>
      <c r="I434" t="s">
        <v>14</v>
      </c>
      <c r="J434" t="s">
        <v>18</v>
      </c>
      <c r="L434" s="3">
        <f t="shared" si="41"/>
        <v>9.2199999999999989</v>
      </c>
      <c r="M434" s="3">
        <f t="shared" si="36"/>
        <v>9.2199999999999989</v>
      </c>
      <c r="N434" t="b">
        <f t="shared" si="37"/>
        <v>0</v>
      </c>
      <c r="O434">
        <f t="shared" si="38"/>
        <v>1</v>
      </c>
      <c r="P434" s="3">
        <f t="shared" si="39"/>
        <v>0</v>
      </c>
      <c r="Q434" t="str">
        <f t="shared" si="40"/>
        <v>Correct</v>
      </c>
    </row>
    <row r="435" spans="1:17" x14ac:dyDescent="0.3">
      <c r="A435" t="s">
        <v>458</v>
      </c>
      <c r="B435" s="2">
        <v>46253</v>
      </c>
      <c r="C435" s="3">
        <v>2.81</v>
      </c>
      <c r="D435" s="3">
        <v>3.76</v>
      </c>
      <c r="E435" s="3">
        <v>5.46</v>
      </c>
      <c r="F435" s="4">
        <v>1</v>
      </c>
      <c r="G435" s="5">
        <v>69095.58</v>
      </c>
      <c r="H435" t="s">
        <v>13</v>
      </c>
      <c r="I435" t="s">
        <v>20</v>
      </c>
      <c r="J435" t="s">
        <v>18</v>
      </c>
      <c r="L435" s="3">
        <f t="shared" si="41"/>
        <v>12.030000000000001</v>
      </c>
      <c r="M435" s="3">
        <f t="shared" si="36"/>
        <v>12.030000000000001</v>
      </c>
      <c r="N435" t="b">
        <f t="shared" si="37"/>
        <v>0</v>
      </c>
      <c r="O435">
        <f t="shared" si="38"/>
        <v>1</v>
      </c>
      <c r="P435" s="3">
        <f t="shared" si="39"/>
        <v>0</v>
      </c>
      <c r="Q435" t="str">
        <f t="shared" si="40"/>
        <v>Correct</v>
      </c>
    </row>
    <row r="436" spans="1:17" x14ac:dyDescent="0.3">
      <c r="A436" t="s">
        <v>459</v>
      </c>
      <c r="B436" s="2">
        <v>46262</v>
      </c>
      <c r="C436" s="3">
        <v>0.75</v>
      </c>
      <c r="D436" s="3">
        <v>19.91</v>
      </c>
      <c r="E436" s="3">
        <v>4.83</v>
      </c>
      <c r="F436" s="4">
        <v>0</v>
      </c>
      <c r="G436" s="5">
        <v>32916.839999999997</v>
      </c>
      <c r="H436" t="s">
        <v>13</v>
      </c>
      <c r="I436" t="s">
        <v>26</v>
      </c>
      <c r="J436" t="s">
        <v>21</v>
      </c>
      <c r="K436" t="s">
        <v>22</v>
      </c>
      <c r="L436" s="3">
        <f t="shared" si="41"/>
        <v>25.490000000000002</v>
      </c>
      <c r="M436" s="3">
        <f t="shared" si="36"/>
        <v>25.490000000000002</v>
      </c>
      <c r="N436" t="b">
        <f t="shared" si="37"/>
        <v>0</v>
      </c>
      <c r="O436">
        <f t="shared" si="38"/>
        <v>0</v>
      </c>
      <c r="P436" s="3">
        <f t="shared" si="39"/>
        <v>0</v>
      </c>
      <c r="Q436" t="str">
        <f t="shared" si="40"/>
        <v>Correct</v>
      </c>
    </row>
    <row r="437" spans="1:17" x14ac:dyDescent="0.3">
      <c r="A437" t="s">
        <v>460</v>
      </c>
      <c r="B437" s="2">
        <v>46268</v>
      </c>
      <c r="C437" s="3">
        <v>3.26</v>
      </c>
      <c r="D437" s="3">
        <v>2.11</v>
      </c>
      <c r="E437" s="3">
        <v>1.1100000000000001</v>
      </c>
      <c r="F437" s="4">
        <v>0</v>
      </c>
      <c r="G437" s="5">
        <v>10615.28</v>
      </c>
      <c r="H437" t="s">
        <v>24</v>
      </c>
      <c r="I437" t="s">
        <v>26</v>
      </c>
      <c r="J437" t="s">
        <v>18</v>
      </c>
      <c r="L437" s="3">
        <f t="shared" si="41"/>
        <v>6.4799999999999995</v>
      </c>
      <c r="M437" s="3">
        <f t="shared" si="36"/>
        <v>6.4799999999999995</v>
      </c>
      <c r="N437" t="b">
        <f t="shared" si="37"/>
        <v>0</v>
      </c>
      <c r="O437">
        <f t="shared" si="38"/>
        <v>1</v>
      </c>
      <c r="P437" s="3">
        <f t="shared" si="39"/>
        <v>0</v>
      </c>
      <c r="Q437" t="str">
        <f t="shared" si="40"/>
        <v>Correct</v>
      </c>
    </row>
    <row r="438" spans="1:17" x14ac:dyDescent="0.3">
      <c r="A438" t="s">
        <v>461</v>
      </c>
      <c r="B438" s="2">
        <v>46273</v>
      </c>
      <c r="C438" s="3">
        <v>0.95</v>
      </c>
      <c r="D438" s="3">
        <v>7.73</v>
      </c>
      <c r="E438" s="3">
        <v>5.16</v>
      </c>
      <c r="F438" s="4">
        <v>2</v>
      </c>
      <c r="G438" s="5">
        <v>27484.25</v>
      </c>
      <c r="H438" t="s">
        <v>13</v>
      </c>
      <c r="I438" t="s">
        <v>26</v>
      </c>
      <c r="J438" t="s">
        <v>18</v>
      </c>
      <c r="L438" s="3">
        <f t="shared" si="41"/>
        <v>13.84</v>
      </c>
      <c r="M438" s="3">
        <f t="shared" si="36"/>
        <v>13.84</v>
      </c>
      <c r="N438" t="b">
        <f t="shared" si="37"/>
        <v>0</v>
      </c>
      <c r="O438">
        <f t="shared" si="38"/>
        <v>1</v>
      </c>
      <c r="P438" s="3">
        <f t="shared" si="39"/>
        <v>0</v>
      </c>
      <c r="Q438" t="str">
        <f t="shared" si="40"/>
        <v>Correct</v>
      </c>
    </row>
    <row r="439" spans="1:17" x14ac:dyDescent="0.3">
      <c r="A439" t="s">
        <v>462</v>
      </c>
      <c r="B439" s="2">
        <v>46275</v>
      </c>
      <c r="C439" s="3">
        <v>0.85</v>
      </c>
      <c r="D439" s="3">
        <v>9.44</v>
      </c>
      <c r="E439" s="3">
        <v>5.36</v>
      </c>
      <c r="F439" s="4">
        <v>1</v>
      </c>
      <c r="G439" s="5">
        <v>14799.09</v>
      </c>
      <c r="H439" t="s">
        <v>24</v>
      </c>
      <c r="I439" t="s">
        <v>17</v>
      </c>
      <c r="J439" t="s">
        <v>18</v>
      </c>
      <c r="L439" s="3">
        <f t="shared" si="41"/>
        <v>15.649999999999999</v>
      </c>
      <c r="M439" s="3">
        <f t="shared" si="36"/>
        <v>15.649999999999999</v>
      </c>
      <c r="N439" t="b">
        <f t="shared" si="37"/>
        <v>0</v>
      </c>
      <c r="O439">
        <f t="shared" si="38"/>
        <v>1</v>
      </c>
      <c r="P439" s="3">
        <f t="shared" si="39"/>
        <v>0</v>
      </c>
      <c r="Q439" t="str">
        <f t="shared" si="40"/>
        <v>Correct</v>
      </c>
    </row>
    <row r="440" spans="1:17" x14ac:dyDescent="0.3">
      <c r="A440" t="s">
        <v>463</v>
      </c>
      <c r="B440" s="2">
        <v>46285</v>
      </c>
      <c r="C440" s="3">
        <v>0.59</v>
      </c>
      <c r="D440" s="3">
        <v>7.17</v>
      </c>
      <c r="E440" s="3">
        <v>2.89</v>
      </c>
      <c r="F440" s="4">
        <v>1</v>
      </c>
      <c r="G440" s="5">
        <v>48774.52</v>
      </c>
      <c r="H440" t="s">
        <v>13</v>
      </c>
      <c r="I440" t="s">
        <v>14</v>
      </c>
      <c r="J440" t="s">
        <v>18</v>
      </c>
      <c r="L440" s="3">
        <f t="shared" si="41"/>
        <v>10.65</v>
      </c>
      <c r="M440" s="3">
        <f t="shared" si="36"/>
        <v>10.65</v>
      </c>
      <c r="N440" t="b">
        <f t="shared" si="37"/>
        <v>0</v>
      </c>
      <c r="O440">
        <f t="shared" si="38"/>
        <v>1</v>
      </c>
      <c r="P440" s="3">
        <f t="shared" si="39"/>
        <v>0</v>
      </c>
      <c r="Q440" t="str">
        <f t="shared" si="40"/>
        <v>Correct</v>
      </c>
    </row>
    <row r="441" spans="1:17" x14ac:dyDescent="0.3">
      <c r="A441" t="s">
        <v>464</v>
      </c>
      <c r="B441" s="2">
        <v>46238</v>
      </c>
      <c r="C441" s="3">
        <v>0.95</v>
      </c>
      <c r="D441" s="3">
        <v>5.77</v>
      </c>
      <c r="E441" s="3">
        <v>1.53</v>
      </c>
      <c r="F441" s="4">
        <v>2</v>
      </c>
      <c r="G441" s="5">
        <v>5477.67</v>
      </c>
      <c r="H441" t="s">
        <v>24</v>
      </c>
      <c r="I441" t="s">
        <v>14</v>
      </c>
      <c r="J441" t="s">
        <v>21</v>
      </c>
      <c r="K441" t="s">
        <v>22</v>
      </c>
      <c r="L441" s="3">
        <f t="shared" si="41"/>
        <v>8.25</v>
      </c>
      <c r="M441" s="3">
        <f t="shared" si="36"/>
        <v>8.25</v>
      </c>
      <c r="N441" t="b">
        <f t="shared" si="37"/>
        <v>0</v>
      </c>
      <c r="O441">
        <f t="shared" si="38"/>
        <v>0</v>
      </c>
      <c r="P441" s="3">
        <f t="shared" si="39"/>
        <v>0</v>
      </c>
      <c r="Q441" t="str">
        <f t="shared" si="40"/>
        <v>Correct</v>
      </c>
    </row>
    <row r="442" spans="1:17" x14ac:dyDescent="0.3">
      <c r="A442" t="s">
        <v>465</v>
      </c>
      <c r="B442" s="2">
        <v>46256</v>
      </c>
      <c r="C442" s="3">
        <v>2.5499999999999998</v>
      </c>
      <c r="D442" s="3">
        <v>2.08</v>
      </c>
      <c r="E442" s="3">
        <v>3.35</v>
      </c>
      <c r="F442" s="4">
        <v>0</v>
      </c>
      <c r="G442" s="5">
        <v>11196.58</v>
      </c>
      <c r="H442" t="s">
        <v>24</v>
      </c>
      <c r="I442" t="s">
        <v>20</v>
      </c>
      <c r="J442" t="s">
        <v>18</v>
      </c>
      <c r="L442" s="3">
        <f t="shared" si="41"/>
        <v>7.98</v>
      </c>
      <c r="M442" s="3">
        <f t="shared" si="36"/>
        <v>7.98</v>
      </c>
      <c r="N442" t="b">
        <f t="shared" si="37"/>
        <v>0</v>
      </c>
      <c r="O442">
        <f t="shared" si="38"/>
        <v>1</v>
      </c>
      <c r="P442" s="3">
        <f t="shared" si="39"/>
        <v>0</v>
      </c>
      <c r="Q442" t="str">
        <f t="shared" si="40"/>
        <v>Correct</v>
      </c>
    </row>
    <row r="443" spans="1:17" x14ac:dyDescent="0.3">
      <c r="A443" t="s">
        <v>466</v>
      </c>
      <c r="B443" s="2">
        <v>46235</v>
      </c>
      <c r="C443" s="3">
        <v>1.08</v>
      </c>
      <c r="D443" s="3">
        <v>4.04</v>
      </c>
      <c r="E443" s="3">
        <v>2.77</v>
      </c>
      <c r="F443" s="4">
        <v>2</v>
      </c>
      <c r="G443" s="5">
        <v>15337.45</v>
      </c>
      <c r="H443" t="s">
        <v>13</v>
      </c>
      <c r="I443" t="s">
        <v>26</v>
      </c>
      <c r="J443" t="s">
        <v>18</v>
      </c>
      <c r="L443" s="3">
        <f t="shared" si="41"/>
        <v>7.8900000000000006</v>
      </c>
      <c r="M443" s="3">
        <f t="shared" si="36"/>
        <v>7.8900000000000006</v>
      </c>
      <c r="N443" t="b">
        <f t="shared" si="37"/>
        <v>0</v>
      </c>
      <c r="O443">
        <f t="shared" si="38"/>
        <v>1</v>
      </c>
      <c r="P443" s="3">
        <f t="shared" si="39"/>
        <v>0</v>
      </c>
      <c r="Q443" t="str">
        <f t="shared" si="40"/>
        <v>Correct</v>
      </c>
    </row>
    <row r="444" spans="1:17" x14ac:dyDescent="0.3">
      <c r="A444" t="s">
        <v>467</v>
      </c>
      <c r="B444" s="2">
        <v>46235</v>
      </c>
      <c r="C444" s="3">
        <v>3.43</v>
      </c>
      <c r="D444" s="3">
        <v>0.27</v>
      </c>
      <c r="E444" s="3">
        <v>5.5</v>
      </c>
      <c r="F444" s="4">
        <v>2</v>
      </c>
      <c r="G444" s="5">
        <v>11883.34</v>
      </c>
      <c r="H444" t="s">
        <v>24</v>
      </c>
      <c r="I444" t="s">
        <v>14</v>
      </c>
      <c r="J444" t="s">
        <v>18</v>
      </c>
      <c r="L444" s="3">
        <f t="shared" si="41"/>
        <v>9.1999999999999993</v>
      </c>
      <c r="M444" s="3">
        <f t="shared" si="36"/>
        <v>9.1999999999999993</v>
      </c>
      <c r="N444" t="b">
        <f t="shared" si="37"/>
        <v>0</v>
      </c>
      <c r="O444">
        <f t="shared" si="38"/>
        <v>1</v>
      </c>
      <c r="P444" s="3">
        <f t="shared" si="39"/>
        <v>0</v>
      </c>
      <c r="Q444" t="str">
        <f t="shared" si="40"/>
        <v>Correct</v>
      </c>
    </row>
    <row r="445" spans="1:17" x14ac:dyDescent="0.3">
      <c r="A445" t="s">
        <v>468</v>
      </c>
      <c r="B445" s="2">
        <v>46247</v>
      </c>
      <c r="C445" s="3">
        <v>1.72</v>
      </c>
      <c r="D445" s="3">
        <v>9.82</v>
      </c>
      <c r="E445" s="3">
        <v>5.56</v>
      </c>
      <c r="F445" s="4">
        <v>0</v>
      </c>
      <c r="G445" s="5">
        <v>6341.06</v>
      </c>
      <c r="H445" t="s">
        <v>24</v>
      </c>
      <c r="I445" t="s">
        <v>26</v>
      </c>
      <c r="J445" t="s">
        <v>18</v>
      </c>
      <c r="L445" s="3">
        <f t="shared" si="41"/>
        <v>17.100000000000001</v>
      </c>
      <c r="M445" s="3">
        <f t="shared" si="36"/>
        <v>17.100000000000001</v>
      </c>
      <c r="N445" t="b">
        <f t="shared" si="37"/>
        <v>0</v>
      </c>
      <c r="O445">
        <f t="shared" si="38"/>
        <v>1</v>
      </c>
      <c r="P445" s="3">
        <f t="shared" si="39"/>
        <v>0</v>
      </c>
      <c r="Q445" t="str">
        <f t="shared" si="40"/>
        <v>Correct</v>
      </c>
    </row>
    <row r="446" spans="1:17" x14ac:dyDescent="0.3">
      <c r="A446" t="s">
        <v>469</v>
      </c>
      <c r="B446" s="2">
        <v>46270</v>
      </c>
      <c r="C446" s="3">
        <v>1.84</v>
      </c>
      <c r="D446" s="3">
        <v>5.75</v>
      </c>
      <c r="E446" s="3">
        <v>1.1499999999999999</v>
      </c>
      <c r="F446" s="4">
        <v>0</v>
      </c>
      <c r="G446" s="5">
        <v>14365.96</v>
      </c>
      <c r="H446" t="s">
        <v>24</v>
      </c>
      <c r="I446" t="s">
        <v>26</v>
      </c>
      <c r="J446" t="s">
        <v>18</v>
      </c>
      <c r="L446" s="3">
        <f t="shared" si="41"/>
        <v>8.74</v>
      </c>
      <c r="M446" s="3">
        <f t="shared" si="36"/>
        <v>8.74</v>
      </c>
      <c r="N446" t="b">
        <f t="shared" si="37"/>
        <v>0</v>
      </c>
      <c r="O446">
        <f t="shared" si="38"/>
        <v>1</v>
      </c>
      <c r="P446" s="3">
        <f t="shared" si="39"/>
        <v>0</v>
      </c>
      <c r="Q446" t="str">
        <f t="shared" si="40"/>
        <v>Correct</v>
      </c>
    </row>
    <row r="447" spans="1:17" x14ac:dyDescent="0.3">
      <c r="A447" t="s">
        <v>470</v>
      </c>
      <c r="B447" s="2">
        <v>46288</v>
      </c>
      <c r="C447" s="3">
        <v>0.82</v>
      </c>
      <c r="D447" s="3">
        <v>2.35</v>
      </c>
      <c r="E447" s="3">
        <v>3.51</v>
      </c>
      <c r="F447" s="4">
        <v>1</v>
      </c>
      <c r="G447" s="5">
        <v>6573.99</v>
      </c>
      <c r="H447" t="s">
        <v>24</v>
      </c>
      <c r="I447" t="s">
        <v>14</v>
      </c>
      <c r="J447" t="s">
        <v>18</v>
      </c>
      <c r="L447" s="3">
        <f t="shared" si="41"/>
        <v>6.68</v>
      </c>
      <c r="M447" s="3">
        <f t="shared" si="36"/>
        <v>6.68</v>
      </c>
      <c r="N447" t="b">
        <f t="shared" si="37"/>
        <v>0</v>
      </c>
      <c r="O447">
        <f t="shared" si="38"/>
        <v>1</v>
      </c>
      <c r="P447" s="3">
        <f t="shared" si="39"/>
        <v>0</v>
      </c>
      <c r="Q447" t="str">
        <f t="shared" si="40"/>
        <v>Correct</v>
      </c>
    </row>
    <row r="448" spans="1:17" x14ac:dyDescent="0.3">
      <c r="A448" t="s">
        <v>471</v>
      </c>
      <c r="B448" s="2">
        <v>46281</v>
      </c>
      <c r="C448" s="3">
        <v>3.78</v>
      </c>
      <c r="D448" s="3">
        <v>2.74</v>
      </c>
      <c r="E448" s="3">
        <v>7.16</v>
      </c>
      <c r="F448" s="4">
        <v>1</v>
      </c>
      <c r="G448" s="5">
        <v>134972.12</v>
      </c>
      <c r="H448" t="s">
        <v>13</v>
      </c>
      <c r="I448" t="s">
        <v>20</v>
      </c>
      <c r="J448" t="s">
        <v>21</v>
      </c>
      <c r="K448" t="s">
        <v>22</v>
      </c>
      <c r="L448" s="3">
        <f t="shared" si="41"/>
        <v>13.68</v>
      </c>
      <c r="M448" s="3">
        <f t="shared" si="36"/>
        <v>13.68</v>
      </c>
      <c r="N448" t="b">
        <f t="shared" si="37"/>
        <v>0</v>
      </c>
      <c r="O448">
        <f t="shared" si="38"/>
        <v>0</v>
      </c>
      <c r="P448" s="3">
        <f t="shared" si="39"/>
        <v>0</v>
      </c>
      <c r="Q448" t="str">
        <f t="shared" si="40"/>
        <v>Correct</v>
      </c>
    </row>
    <row r="449" spans="1:17" x14ac:dyDescent="0.3">
      <c r="A449" t="s">
        <v>472</v>
      </c>
      <c r="B449" s="2">
        <v>46273</v>
      </c>
      <c r="C449" s="3">
        <v>2.89</v>
      </c>
      <c r="D449" s="3">
        <v>10.97</v>
      </c>
      <c r="E449" s="3">
        <v>5.43</v>
      </c>
      <c r="F449" s="4">
        <v>2</v>
      </c>
      <c r="G449" s="5">
        <v>19829.490000000002</v>
      </c>
      <c r="H449" t="s">
        <v>13</v>
      </c>
      <c r="I449" t="s">
        <v>14</v>
      </c>
      <c r="J449" t="s">
        <v>18</v>
      </c>
      <c r="L449" s="3">
        <f t="shared" si="41"/>
        <v>19.29</v>
      </c>
      <c r="M449" s="3">
        <f t="shared" si="36"/>
        <v>19.29</v>
      </c>
      <c r="N449" t="b">
        <f t="shared" si="37"/>
        <v>0</v>
      </c>
      <c r="O449">
        <f t="shared" si="38"/>
        <v>1</v>
      </c>
      <c r="P449" s="3">
        <f t="shared" si="39"/>
        <v>0</v>
      </c>
      <c r="Q449" t="str">
        <f t="shared" si="40"/>
        <v>Correct</v>
      </c>
    </row>
    <row r="450" spans="1:17" x14ac:dyDescent="0.3">
      <c r="A450" t="s">
        <v>473</v>
      </c>
      <c r="B450" s="2">
        <v>46281</v>
      </c>
      <c r="C450" s="3">
        <v>2.83</v>
      </c>
      <c r="D450" s="3">
        <v>3</v>
      </c>
      <c r="E450" s="3">
        <v>4.96</v>
      </c>
      <c r="F450" s="4">
        <v>0</v>
      </c>
      <c r="G450" s="5">
        <v>34321.79</v>
      </c>
      <c r="H450" t="s">
        <v>13</v>
      </c>
      <c r="I450" t="s">
        <v>26</v>
      </c>
      <c r="J450" t="s">
        <v>18</v>
      </c>
      <c r="L450" s="3">
        <f t="shared" si="41"/>
        <v>10.79</v>
      </c>
      <c r="M450" s="3">
        <f t="shared" ref="M450:M501" si="42">SUM(C450:E450)</f>
        <v>10.79</v>
      </c>
      <c r="N450" t="b">
        <f t="shared" ref="N450:N501" si="43">COUNTIF(A:A,A450)&gt;1</f>
        <v>0</v>
      </c>
      <c r="O450">
        <f t="shared" ref="O450:O501" si="44">COUNTBLANK(A450:L450)</f>
        <v>1</v>
      </c>
      <c r="P450" s="3">
        <f t="shared" ref="P450:P501" si="45">COUNTBLANK(A450:J450)+COUNTBLANK(L450)</f>
        <v>0</v>
      </c>
      <c r="Q450" t="str">
        <f t="shared" ref="Q450:Q501" si="46">IF(L450=M450,"Correct","Mismatch")</f>
        <v>Correct</v>
      </c>
    </row>
    <row r="451" spans="1:17" x14ac:dyDescent="0.3">
      <c r="A451" t="s">
        <v>474</v>
      </c>
      <c r="B451" s="2">
        <v>46245</v>
      </c>
      <c r="C451" s="3">
        <v>1.48</v>
      </c>
      <c r="D451" s="3">
        <v>2.34</v>
      </c>
      <c r="E451" s="3">
        <v>2.16</v>
      </c>
      <c r="F451" s="4">
        <v>0</v>
      </c>
      <c r="G451" s="5">
        <v>14021.99</v>
      </c>
      <c r="H451" t="s">
        <v>24</v>
      </c>
      <c r="I451" t="s">
        <v>14</v>
      </c>
      <c r="J451" t="s">
        <v>18</v>
      </c>
      <c r="L451" s="3">
        <f t="shared" ref="L451:L501" si="47">SUM(C451:E451)</f>
        <v>5.98</v>
      </c>
      <c r="M451" s="3">
        <f t="shared" si="42"/>
        <v>5.98</v>
      </c>
      <c r="N451" t="b">
        <f t="shared" si="43"/>
        <v>0</v>
      </c>
      <c r="O451">
        <f t="shared" si="44"/>
        <v>1</v>
      </c>
      <c r="P451" s="3">
        <f t="shared" si="45"/>
        <v>0</v>
      </c>
      <c r="Q451" t="str">
        <f t="shared" si="46"/>
        <v>Correct</v>
      </c>
    </row>
    <row r="452" spans="1:17" x14ac:dyDescent="0.3">
      <c r="A452" t="s">
        <v>475</v>
      </c>
      <c r="B452" s="2">
        <v>46285</v>
      </c>
      <c r="C452" s="3">
        <v>0.52</v>
      </c>
      <c r="D452" s="3">
        <v>1.69</v>
      </c>
      <c r="E452" s="3">
        <v>2.2999999999999998</v>
      </c>
      <c r="F452" s="4">
        <v>0</v>
      </c>
      <c r="G452" s="5">
        <v>13804.45</v>
      </c>
      <c r="H452" t="s">
        <v>24</v>
      </c>
      <c r="I452" t="s">
        <v>26</v>
      </c>
      <c r="J452" t="s">
        <v>18</v>
      </c>
      <c r="L452" s="3">
        <f t="shared" si="47"/>
        <v>4.51</v>
      </c>
      <c r="M452" s="3">
        <f t="shared" si="42"/>
        <v>4.51</v>
      </c>
      <c r="N452" t="b">
        <f t="shared" si="43"/>
        <v>0</v>
      </c>
      <c r="O452">
        <f t="shared" si="44"/>
        <v>1</v>
      </c>
      <c r="P452" s="3">
        <f t="shared" si="45"/>
        <v>0</v>
      </c>
      <c r="Q452" t="str">
        <f t="shared" si="46"/>
        <v>Correct</v>
      </c>
    </row>
    <row r="453" spans="1:17" x14ac:dyDescent="0.3">
      <c r="A453" t="s">
        <v>476</v>
      </c>
      <c r="B453" s="2">
        <v>46288</v>
      </c>
      <c r="C453" s="3">
        <v>1.92</v>
      </c>
      <c r="D453" s="3">
        <v>6.48</v>
      </c>
      <c r="E453" s="3">
        <v>3.85</v>
      </c>
      <c r="F453" s="4">
        <v>2</v>
      </c>
      <c r="G453" s="5">
        <v>19652.63</v>
      </c>
      <c r="H453" t="s">
        <v>24</v>
      </c>
      <c r="I453" t="s">
        <v>20</v>
      </c>
      <c r="J453" t="s">
        <v>18</v>
      </c>
      <c r="L453" s="3">
        <f t="shared" si="47"/>
        <v>12.25</v>
      </c>
      <c r="M453" s="3">
        <f t="shared" si="42"/>
        <v>12.25</v>
      </c>
      <c r="N453" t="b">
        <f t="shared" si="43"/>
        <v>0</v>
      </c>
      <c r="O453">
        <f t="shared" si="44"/>
        <v>1</v>
      </c>
      <c r="P453" s="3">
        <f t="shared" si="45"/>
        <v>0</v>
      </c>
      <c r="Q453" t="str">
        <f t="shared" si="46"/>
        <v>Correct</v>
      </c>
    </row>
    <row r="454" spans="1:17" x14ac:dyDescent="0.3">
      <c r="A454" t="s">
        <v>477</v>
      </c>
      <c r="B454" s="2">
        <v>46240</v>
      </c>
      <c r="C454" s="3">
        <v>2.48</v>
      </c>
      <c r="D454" s="3">
        <v>7.59</v>
      </c>
      <c r="E454" s="3">
        <v>7.72</v>
      </c>
      <c r="F454" s="4">
        <v>0</v>
      </c>
      <c r="G454" s="5">
        <v>46488.35</v>
      </c>
      <c r="H454" t="s">
        <v>24</v>
      </c>
      <c r="I454" t="s">
        <v>14</v>
      </c>
      <c r="J454" t="s">
        <v>18</v>
      </c>
      <c r="L454" s="3">
        <f t="shared" si="47"/>
        <v>17.79</v>
      </c>
      <c r="M454" s="3">
        <f t="shared" si="42"/>
        <v>17.79</v>
      </c>
      <c r="N454" t="b">
        <f t="shared" si="43"/>
        <v>0</v>
      </c>
      <c r="O454">
        <f t="shared" si="44"/>
        <v>1</v>
      </c>
      <c r="P454" s="3">
        <f t="shared" si="45"/>
        <v>0</v>
      </c>
      <c r="Q454" t="str">
        <f t="shared" si="46"/>
        <v>Correct</v>
      </c>
    </row>
    <row r="455" spans="1:17" x14ac:dyDescent="0.3">
      <c r="A455" t="s">
        <v>478</v>
      </c>
      <c r="B455" s="2">
        <v>46263</v>
      </c>
      <c r="C455" s="3">
        <v>2.4900000000000002</v>
      </c>
      <c r="D455" s="3">
        <v>3.34</v>
      </c>
      <c r="E455" s="3">
        <v>4.6900000000000004</v>
      </c>
      <c r="F455" s="4">
        <v>0</v>
      </c>
      <c r="G455" s="5">
        <v>3865.81</v>
      </c>
      <c r="H455" t="s">
        <v>24</v>
      </c>
      <c r="I455" t="s">
        <v>26</v>
      </c>
      <c r="J455" t="s">
        <v>15</v>
      </c>
      <c r="L455" s="3">
        <f t="shared" si="47"/>
        <v>10.52</v>
      </c>
      <c r="M455" s="3">
        <f t="shared" si="42"/>
        <v>10.52</v>
      </c>
      <c r="N455" t="b">
        <f t="shared" si="43"/>
        <v>0</v>
      </c>
      <c r="O455">
        <f t="shared" si="44"/>
        <v>1</v>
      </c>
      <c r="P455" s="3">
        <f t="shared" si="45"/>
        <v>0</v>
      </c>
      <c r="Q455" t="str">
        <f t="shared" si="46"/>
        <v>Correct</v>
      </c>
    </row>
    <row r="456" spans="1:17" x14ac:dyDescent="0.3">
      <c r="A456" t="s">
        <v>479</v>
      </c>
      <c r="B456" s="2">
        <v>46284</v>
      </c>
      <c r="C456" s="3">
        <v>2.2599999999999998</v>
      </c>
      <c r="D456" s="3">
        <v>10.29</v>
      </c>
      <c r="E456" s="3">
        <v>1.46</v>
      </c>
      <c r="F456" s="4">
        <v>0</v>
      </c>
      <c r="G456" s="5">
        <v>42407.3</v>
      </c>
      <c r="H456" t="s">
        <v>13</v>
      </c>
      <c r="I456" t="s">
        <v>26</v>
      </c>
      <c r="J456" t="s">
        <v>15</v>
      </c>
      <c r="L456" s="3">
        <f t="shared" si="47"/>
        <v>14.009999999999998</v>
      </c>
      <c r="M456" s="3">
        <f t="shared" si="42"/>
        <v>14.009999999999998</v>
      </c>
      <c r="N456" t="b">
        <f t="shared" si="43"/>
        <v>0</v>
      </c>
      <c r="O456">
        <f t="shared" si="44"/>
        <v>1</v>
      </c>
      <c r="P456" s="3">
        <f t="shared" si="45"/>
        <v>0</v>
      </c>
      <c r="Q456" t="str">
        <f t="shared" si="46"/>
        <v>Correct</v>
      </c>
    </row>
    <row r="457" spans="1:17" x14ac:dyDescent="0.3">
      <c r="A457" t="s">
        <v>480</v>
      </c>
      <c r="B457" s="2">
        <v>46263</v>
      </c>
      <c r="C457" s="3">
        <v>2.19</v>
      </c>
      <c r="D457" s="3">
        <v>6.77</v>
      </c>
      <c r="E457" s="3">
        <v>3.98</v>
      </c>
      <c r="F457" s="4">
        <v>1</v>
      </c>
      <c r="G457" s="5">
        <v>24728.85</v>
      </c>
      <c r="H457" t="s">
        <v>13</v>
      </c>
      <c r="I457" t="s">
        <v>26</v>
      </c>
      <c r="J457" t="s">
        <v>18</v>
      </c>
      <c r="L457" s="3">
        <f t="shared" si="47"/>
        <v>12.94</v>
      </c>
      <c r="M457" s="3">
        <f t="shared" si="42"/>
        <v>12.94</v>
      </c>
      <c r="N457" t="b">
        <f t="shared" si="43"/>
        <v>0</v>
      </c>
      <c r="O457">
        <f t="shared" si="44"/>
        <v>1</v>
      </c>
      <c r="P457" s="3">
        <f t="shared" si="45"/>
        <v>0</v>
      </c>
      <c r="Q457" t="str">
        <f t="shared" si="46"/>
        <v>Correct</v>
      </c>
    </row>
    <row r="458" spans="1:17" x14ac:dyDescent="0.3">
      <c r="A458" t="s">
        <v>481</v>
      </c>
      <c r="B458" s="2">
        <v>46285</v>
      </c>
      <c r="C458" s="3">
        <v>0.94</v>
      </c>
      <c r="D458" s="3">
        <v>2.17</v>
      </c>
      <c r="E458" s="3">
        <v>4</v>
      </c>
      <c r="F458" s="4">
        <v>1</v>
      </c>
      <c r="G458" s="5">
        <v>34574.57</v>
      </c>
      <c r="H458" t="s">
        <v>13</v>
      </c>
      <c r="I458" t="s">
        <v>20</v>
      </c>
      <c r="J458" t="s">
        <v>18</v>
      </c>
      <c r="L458" s="3">
        <f t="shared" si="47"/>
        <v>7.1099999999999994</v>
      </c>
      <c r="M458" s="3">
        <f t="shared" si="42"/>
        <v>7.1099999999999994</v>
      </c>
      <c r="N458" t="b">
        <f t="shared" si="43"/>
        <v>0</v>
      </c>
      <c r="O458">
        <f t="shared" si="44"/>
        <v>1</v>
      </c>
      <c r="P458" s="3">
        <f t="shared" si="45"/>
        <v>0</v>
      </c>
      <c r="Q458" t="str">
        <f t="shared" si="46"/>
        <v>Correct</v>
      </c>
    </row>
    <row r="459" spans="1:17" x14ac:dyDescent="0.3">
      <c r="A459" t="s">
        <v>482</v>
      </c>
      <c r="B459" s="2">
        <v>46291</v>
      </c>
      <c r="C459" s="3">
        <v>0.98</v>
      </c>
      <c r="D459" s="3">
        <v>15.47</v>
      </c>
      <c r="E459" s="3">
        <v>1.75</v>
      </c>
      <c r="F459" s="4">
        <v>0</v>
      </c>
      <c r="G459" s="5">
        <v>5471.62</v>
      </c>
      <c r="H459" t="s">
        <v>24</v>
      </c>
      <c r="I459" t="s">
        <v>17</v>
      </c>
      <c r="J459" t="s">
        <v>18</v>
      </c>
      <c r="L459" s="3">
        <f t="shared" si="47"/>
        <v>18.2</v>
      </c>
      <c r="M459" s="3">
        <f t="shared" si="42"/>
        <v>18.2</v>
      </c>
      <c r="N459" t="b">
        <f t="shared" si="43"/>
        <v>0</v>
      </c>
      <c r="O459">
        <f t="shared" si="44"/>
        <v>1</v>
      </c>
      <c r="P459" s="3">
        <f t="shared" si="45"/>
        <v>0</v>
      </c>
      <c r="Q459" t="str">
        <f t="shared" si="46"/>
        <v>Correct</v>
      </c>
    </row>
    <row r="460" spans="1:17" x14ac:dyDescent="0.3">
      <c r="A460" t="s">
        <v>483</v>
      </c>
      <c r="B460" s="2">
        <v>46263</v>
      </c>
      <c r="C460" s="3">
        <v>0.6</v>
      </c>
      <c r="D460" s="3">
        <v>1.68</v>
      </c>
      <c r="E460" s="3">
        <v>4.57</v>
      </c>
      <c r="F460" s="4">
        <v>1</v>
      </c>
      <c r="G460" s="5">
        <v>8393.31</v>
      </c>
      <c r="H460" t="s">
        <v>24</v>
      </c>
      <c r="I460" t="s">
        <v>20</v>
      </c>
      <c r="J460" t="s">
        <v>18</v>
      </c>
      <c r="L460" s="3">
        <f t="shared" si="47"/>
        <v>6.85</v>
      </c>
      <c r="M460" s="3">
        <f t="shared" si="42"/>
        <v>6.85</v>
      </c>
      <c r="N460" t="b">
        <f t="shared" si="43"/>
        <v>0</v>
      </c>
      <c r="O460">
        <f t="shared" si="44"/>
        <v>1</v>
      </c>
      <c r="P460" s="3">
        <f t="shared" si="45"/>
        <v>0</v>
      </c>
      <c r="Q460" t="str">
        <f t="shared" si="46"/>
        <v>Correct</v>
      </c>
    </row>
    <row r="461" spans="1:17" x14ac:dyDescent="0.3">
      <c r="A461" t="s">
        <v>484</v>
      </c>
      <c r="B461" s="2">
        <v>46238</v>
      </c>
      <c r="C461" s="3">
        <v>3.46</v>
      </c>
      <c r="D461" s="3">
        <v>3.52</v>
      </c>
      <c r="E461" s="3">
        <v>5.98</v>
      </c>
      <c r="F461" s="4">
        <v>2</v>
      </c>
      <c r="G461" s="5">
        <v>5068.84</v>
      </c>
      <c r="H461" t="s">
        <v>24</v>
      </c>
      <c r="I461" t="s">
        <v>14</v>
      </c>
      <c r="J461" t="s">
        <v>18</v>
      </c>
      <c r="L461" s="3">
        <f t="shared" si="47"/>
        <v>12.96</v>
      </c>
      <c r="M461" s="3">
        <f t="shared" si="42"/>
        <v>12.96</v>
      </c>
      <c r="N461" t="b">
        <f t="shared" si="43"/>
        <v>0</v>
      </c>
      <c r="O461">
        <f t="shared" si="44"/>
        <v>1</v>
      </c>
      <c r="P461" s="3">
        <f t="shared" si="45"/>
        <v>0</v>
      </c>
      <c r="Q461" t="str">
        <f t="shared" si="46"/>
        <v>Correct</v>
      </c>
    </row>
    <row r="462" spans="1:17" x14ac:dyDescent="0.3">
      <c r="A462" t="s">
        <v>485</v>
      </c>
      <c r="B462" s="2">
        <v>46255</v>
      </c>
      <c r="C462" s="3">
        <v>5.73</v>
      </c>
      <c r="D462" s="3">
        <v>3.34</v>
      </c>
      <c r="E462" s="3">
        <v>3.18</v>
      </c>
      <c r="F462" s="4">
        <v>2</v>
      </c>
      <c r="G462" s="5">
        <v>11899.76</v>
      </c>
      <c r="H462" t="s">
        <v>24</v>
      </c>
      <c r="I462" t="s">
        <v>14</v>
      </c>
      <c r="J462" t="s">
        <v>18</v>
      </c>
      <c r="L462" s="3">
        <f t="shared" si="47"/>
        <v>12.25</v>
      </c>
      <c r="M462" s="3">
        <f t="shared" si="42"/>
        <v>12.25</v>
      </c>
      <c r="N462" t="b">
        <f t="shared" si="43"/>
        <v>0</v>
      </c>
      <c r="O462">
        <f t="shared" si="44"/>
        <v>1</v>
      </c>
      <c r="P462" s="3">
        <f t="shared" si="45"/>
        <v>0</v>
      </c>
      <c r="Q462" t="str">
        <f t="shared" si="46"/>
        <v>Correct</v>
      </c>
    </row>
    <row r="463" spans="1:17" x14ac:dyDescent="0.3">
      <c r="A463" t="s">
        <v>486</v>
      </c>
      <c r="B463" s="2">
        <v>46247</v>
      </c>
      <c r="C463" s="3">
        <v>9.44</v>
      </c>
      <c r="D463" s="3">
        <v>2.93</v>
      </c>
      <c r="E463" s="3">
        <v>2.69</v>
      </c>
      <c r="F463" s="4">
        <v>0</v>
      </c>
      <c r="G463" s="5">
        <v>10182.58</v>
      </c>
      <c r="H463" t="s">
        <v>24</v>
      </c>
      <c r="I463" t="s">
        <v>26</v>
      </c>
      <c r="J463" t="s">
        <v>18</v>
      </c>
      <c r="L463" s="3">
        <f t="shared" si="47"/>
        <v>15.059999999999999</v>
      </c>
      <c r="M463" s="3">
        <f t="shared" si="42"/>
        <v>15.059999999999999</v>
      </c>
      <c r="N463" t="b">
        <f t="shared" si="43"/>
        <v>0</v>
      </c>
      <c r="O463">
        <f t="shared" si="44"/>
        <v>1</v>
      </c>
      <c r="P463" s="3">
        <f t="shared" si="45"/>
        <v>0</v>
      </c>
      <c r="Q463" t="str">
        <f t="shared" si="46"/>
        <v>Correct</v>
      </c>
    </row>
    <row r="464" spans="1:17" x14ac:dyDescent="0.3">
      <c r="A464" t="s">
        <v>487</v>
      </c>
      <c r="B464" s="2">
        <v>46263</v>
      </c>
      <c r="C464" s="3">
        <v>2.02</v>
      </c>
      <c r="D464" s="3">
        <v>0.66</v>
      </c>
      <c r="E464" s="3">
        <v>1.7</v>
      </c>
      <c r="F464" s="4">
        <v>0</v>
      </c>
      <c r="G464" s="5">
        <v>12894.62</v>
      </c>
      <c r="H464" t="s">
        <v>24</v>
      </c>
      <c r="I464" t="s">
        <v>20</v>
      </c>
      <c r="J464" t="s">
        <v>18</v>
      </c>
      <c r="L464" s="3">
        <f t="shared" si="47"/>
        <v>4.38</v>
      </c>
      <c r="M464" s="3">
        <f t="shared" si="42"/>
        <v>4.38</v>
      </c>
      <c r="N464" t="b">
        <f t="shared" si="43"/>
        <v>0</v>
      </c>
      <c r="O464">
        <f t="shared" si="44"/>
        <v>1</v>
      </c>
      <c r="P464" s="3">
        <f t="shared" si="45"/>
        <v>0</v>
      </c>
      <c r="Q464" t="str">
        <f t="shared" si="46"/>
        <v>Correct</v>
      </c>
    </row>
    <row r="465" spans="1:17" x14ac:dyDescent="0.3">
      <c r="A465" t="s">
        <v>488</v>
      </c>
      <c r="B465" s="2">
        <v>46270</v>
      </c>
      <c r="C465" s="3">
        <v>2.2000000000000002</v>
      </c>
      <c r="D465" s="3">
        <v>21.25</v>
      </c>
      <c r="E465" s="3">
        <v>3.62</v>
      </c>
      <c r="F465" s="4">
        <v>0</v>
      </c>
      <c r="G465" s="5">
        <v>13085.38</v>
      </c>
      <c r="H465" t="s">
        <v>24</v>
      </c>
      <c r="I465" t="s">
        <v>17</v>
      </c>
      <c r="J465" t="s">
        <v>15</v>
      </c>
      <c r="L465" s="3">
        <f t="shared" si="47"/>
        <v>27.07</v>
      </c>
      <c r="M465" s="3">
        <f t="shared" si="42"/>
        <v>27.07</v>
      </c>
      <c r="N465" t="b">
        <f t="shared" si="43"/>
        <v>0</v>
      </c>
      <c r="O465">
        <f t="shared" si="44"/>
        <v>1</v>
      </c>
      <c r="P465" s="3">
        <f t="shared" si="45"/>
        <v>0</v>
      </c>
      <c r="Q465" t="str">
        <f t="shared" si="46"/>
        <v>Correct</v>
      </c>
    </row>
    <row r="466" spans="1:17" x14ac:dyDescent="0.3">
      <c r="A466" t="s">
        <v>489</v>
      </c>
      <c r="B466" s="2">
        <v>46262</v>
      </c>
      <c r="C466" s="3">
        <v>1.52</v>
      </c>
      <c r="D466" s="3">
        <v>1.02</v>
      </c>
      <c r="E466" s="3">
        <v>3.46</v>
      </c>
      <c r="F466" s="4">
        <v>1</v>
      </c>
      <c r="G466" s="5">
        <v>24359.85</v>
      </c>
      <c r="H466" t="s">
        <v>13</v>
      </c>
      <c r="I466" t="s">
        <v>14</v>
      </c>
      <c r="J466" t="s">
        <v>21</v>
      </c>
      <c r="K466" t="s">
        <v>163</v>
      </c>
      <c r="L466" s="3">
        <f t="shared" si="47"/>
        <v>6</v>
      </c>
      <c r="M466" s="3">
        <f t="shared" si="42"/>
        <v>6</v>
      </c>
      <c r="N466" t="b">
        <f t="shared" si="43"/>
        <v>0</v>
      </c>
      <c r="O466">
        <f t="shared" si="44"/>
        <v>0</v>
      </c>
      <c r="P466" s="3">
        <f t="shared" si="45"/>
        <v>0</v>
      </c>
      <c r="Q466" t="str">
        <f t="shared" si="46"/>
        <v>Correct</v>
      </c>
    </row>
    <row r="467" spans="1:17" x14ac:dyDescent="0.3">
      <c r="A467" t="s">
        <v>490</v>
      </c>
      <c r="B467" s="2">
        <v>46246</v>
      </c>
      <c r="C467" s="3">
        <v>1.99</v>
      </c>
      <c r="D467" s="3">
        <v>9.75</v>
      </c>
      <c r="E467" s="3">
        <v>4.09</v>
      </c>
      <c r="F467" s="4">
        <v>1</v>
      </c>
      <c r="G467" s="5">
        <v>8059.65</v>
      </c>
      <c r="H467" t="s">
        <v>24</v>
      </c>
      <c r="I467" t="s">
        <v>14</v>
      </c>
      <c r="J467" t="s">
        <v>18</v>
      </c>
      <c r="L467" s="3">
        <f t="shared" si="47"/>
        <v>15.83</v>
      </c>
      <c r="M467" s="3">
        <f t="shared" si="42"/>
        <v>15.83</v>
      </c>
      <c r="N467" t="b">
        <f t="shared" si="43"/>
        <v>0</v>
      </c>
      <c r="O467">
        <f t="shared" si="44"/>
        <v>1</v>
      </c>
      <c r="P467" s="3">
        <f t="shared" si="45"/>
        <v>0</v>
      </c>
      <c r="Q467" t="str">
        <f t="shared" si="46"/>
        <v>Correct</v>
      </c>
    </row>
    <row r="468" spans="1:17" x14ac:dyDescent="0.3">
      <c r="A468" t="s">
        <v>491</v>
      </c>
      <c r="B468" s="2">
        <v>46253</v>
      </c>
      <c r="C468" s="3">
        <v>0.75</v>
      </c>
      <c r="D468" s="3">
        <v>2.66</v>
      </c>
      <c r="E468" s="3">
        <v>2.3199999999999998</v>
      </c>
      <c r="F468" s="4">
        <v>4</v>
      </c>
      <c r="G468" s="5">
        <v>15908.87</v>
      </c>
      <c r="H468" t="s">
        <v>13</v>
      </c>
      <c r="I468" t="s">
        <v>14</v>
      </c>
      <c r="J468" t="s">
        <v>18</v>
      </c>
      <c r="L468" s="3">
        <f t="shared" si="47"/>
        <v>5.73</v>
      </c>
      <c r="M468" s="3">
        <f t="shared" si="42"/>
        <v>5.73</v>
      </c>
      <c r="N468" t="b">
        <f t="shared" si="43"/>
        <v>0</v>
      </c>
      <c r="O468">
        <f t="shared" si="44"/>
        <v>1</v>
      </c>
      <c r="P468" s="3">
        <f t="shared" si="45"/>
        <v>0</v>
      </c>
      <c r="Q468" t="str">
        <f t="shared" si="46"/>
        <v>Correct</v>
      </c>
    </row>
    <row r="469" spans="1:17" x14ac:dyDescent="0.3">
      <c r="A469" t="s">
        <v>492</v>
      </c>
      <c r="B469" s="2">
        <v>46275</v>
      </c>
      <c r="C469" s="3">
        <v>1.5</v>
      </c>
      <c r="D469" s="3">
        <v>2.52</v>
      </c>
      <c r="E469" s="3">
        <v>2.96</v>
      </c>
      <c r="F469" s="4">
        <v>3</v>
      </c>
      <c r="G469" s="5">
        <v>11259.16</v>
      </c>
      <c r="H469" t="s">
        <v>24</v>
      </c>
      <c r="I469" t="s">
        <v>20</v>
      </c>
      <c r="J469" t="s">
        <v>18</v>
      </c>
      <c r="L469" s="3">
        <f t="shared" si="47"/>
        <v>6.9799999999999995</v>
      </c>
      <c r="M469" s="3">
        <f t="shared" si="42"/>
        <v>6.9799999999999995</v>
      </c>
      <c r="N469" t="b">
        <f t="shared" si="43"/>
        <v>0</v>
      </c>
      <c r="O469">
        <f t="shared" si="44"/>
        <v>1</v>
      </c>
      <c r="P469" s="3">
        <f t="shared" si="45"/>
        <v>0</v>
      </c>
      <c r="Q469" t="str">
        <f t="shared" si="46"/>
        <v>Correct</v>
      </c>
    </row>
    <row r="470" spans="1:17" x14ac:dyDescent="0.3">
      <c r="A470" t="s">
        <v>493</v>
      </c>
      <c r="B470" s="2">
        <v>46236</v>
      </c>
      <c r="C470" s="3">
        <v>0.85</v>
      </c>
      <c r="D470" s="3">
        <v>9.15</v>
      </c>
      <c r="E470" s="3">
        <v>7.46</v>
      </c>
      <c r="F470" s="4">
        <v>0</v>
      </c>
      <c r="G470" s="5">
        <v>3553.3</v>
      </c>
      <c r="H470" t="s">
        <v>24</v>
      </c>
      <c r="I470" t="s">
        <v>26</v>
      </c>
      <c r="J470" t="s">
        <v>18</v>
      </c>
      <c r="L470" s="3">
        <f t="shared" si="47"/>
        <v>17.46</v>
      </c>
      <c r="M470" s="3">
        <f t="shared" si="42"/>
        <v>17.46</v>
      </c>
      <c r="N470" t="b">
        <f t="shared" si="43"/>
        <v>0</v>
      </c>
      <c r="O470">
        <f t="shared" si="44"/>
        <v>1</v>
      </c>
      <c r="P470" s="3">
        <f t="shared" si="45"/>
        <v>0</v>
      </c>
      <c r="Q470" t="str">
        <f t="shared" si="46"/>
        <v>Correct</v>
      </c>
    </row>
    <row r="471" spans="1:17" x14ac:dyDescent="0.3">
      <c r="A471" t="s">
        <v>494</v>
      </c>
      <c r="B471" s="2">
        <v>46247</v>
      </c>
      <c r="C471" s="3">
        <v>1.35</v>
      </c>
      <c r="D471" s="3">
        <v>8.8800000000000008</v>
      </c>
      <c r="E471" s="3">
        <v>4.88</v>
      </c>
      <c r="F471" s="4">
        <v>1</v>
      </c>
      <c r="G471" s="5">
        <v>5702.69</v>
      </c>
      <c r="H471" t="s">
        <v>24</v>
      </c>
      <c r="I471" t="s">
        <v>17</v>
      </c>
      <c r="J471" t="s">
        <v>18</v>
      </c>
      <c r="L471" s="3">
        <f t="shared" si="47"/>
        <v>15.11</v>
      </c>
      <c r="M471" s="3">
        <f t="shared" si="42"/>
        <v>15.11</v>
      </c>
      <c r="N471" t="b">
        <f t="shared" si="43"/>
        <v>0</v>
      </c>
      <c r="O471">
        <f t="shared" si="44"/>
        <v>1</v>
      </c>
      <c r="P471" s="3">
        <f t="shared" si="45"/>
        <v>0</v>
      </c>
      <c r="Q471" t="str">
        <f t="shared" si="46"/>
        <v>Correct</v>
      </c>
    </row>
    <row r="472" spans="1:17" x14ac:dyDescent="0.3">
      <c r="A472" t="s">
        <v>495</v>
      </c>
      <c r="B472" s="2">
        <v>46288</v>
      </c>
      <c r="C472" s="3">
        <v>0.92</v>
      </c>
      <c r="D472" s="3">
        <v>2</v>
      </c>
      <c r="E472" s="3">
        <v>7.64</v>
      </c>
      <c r="F472" s="4">
        <v>0</v>
      </c>
      <c r="G472" s="5">
        <v>3799.87</v>
      </c>
      <c r="H472" t="s">
        <v>24</v>
      </c>
      <c r="I472" t="s">
        <v>17</v>
      </c>
      <c r="J472" t="s">
        <v>21</v>
      </c>
      <c r="K472" t="s">
        <v>22</v>
      </c>
      <c r="L472" s="3">
        <f t="shared" si="47"/>
        <v>10.559999999999999</v>
      </c>
      <c r="M472" s="3">
        <f t="shared" si="42"/>
        <v>10.559999999999999</v>
      </c>
      <c r="N472" t="b">
        <f t="shared" si="43"/>
        <v>0</v>
      </c>
      <c r="O472">
        <f t="shared" si="44"/>
        <v>0</v>
      </c>
      <c r="P472" s="3">
        <f t="shared" si="45"/>
        <v>0</v>
      </c>
      <c r="Q472" t="str">
        <f t="shared" si="46"/>
        <v>Correct</v>
      </c>
    </row>
    <row r="473" spans="1:17" x14ac:dyDescent="0.3">
      <c r="A473" t="s">
        <v>496</v>
      </c>
      <c r="B473" s="2">
        <v>46240</v>
      </c>
      <c r="C473" s="3">
        <v>2.48</v>
      </c>
      <c r="D473" s="3">
        <v>1.96</v>
      </c>
      <c r="E473" s="3">
        <v>2.76</v>
      </c>
      <c r="F473" s="4">
        <v>0</v>
      </c>
      <c r="G473" s="5">
        <v>9991.94</v>
      </c>
      <c r="H473" t="s">
        <v>24</v>
      </c>
      <c r="I473" t="s">
        <v>17</v>
      </c>
      <c r="J473" t="s">
        <v>18</v>
      </c>
      <c r="L473" s="3">
        <f t="shared" si="47"/>
        <v>7.1999999999999993</v>
      </c>
      <c r="M473" s="3">
        <f t="shared" si="42"/>
        <v>7.1999999999999993</v>
      </c>
      <c r="N473" t="b">
        <f t="shared" si="43"/>
        <v>0</v>
      </c>
      <c r="O473">
        <f t="shared" si="44"/>
        <v>1</v>
      </c>
      <c r="P473" s="3">
        <f t="shared" si="45"/>
        <v>0</v>
      </c>
      <c r="Q473" t="str">
        <f t="shared" si="46"/>
        <v>Correct</v>
      </c>
    </row>
    <row r="474" spans="1:17" x14ac:dyDescent="0.3">
      <c r="A474" t="s">
        <v>497</v>
      </c>
      <c r="B474" s="2">
        <v>46259</v>
      </c>
      <c r="C474" s="3">
        <v>2.7</v>
      </c>
      <c r="D474" s="3">
        <v>4.8600000000000003</v>
      </c>
      <c r="E474" s="3">
        <v>4.28</v>
      </c>
      <c r="F474" s="4">
        <v>0</v>
      </c>
      <c r="G474" s="5">
        <v>9255.81</v>
      </c>
      <c r="H474" t="s">
        <v>24</v>
      </c>
      <c r="I474" t="s">
        <v>26</v>
      </c>
      <c r="J474" t="s">
        <v>18</v>
      </c>
      <c r="L474" s="3">
        <f t="shared" si="47"/>
        <v>11.84</v>
      </c>
      <c r="M474" s="3">
        <f t="shared" si="42"/>
        <v>11.84</v>
      </c>
      <c r="N474" t="b">
        <f t="shared" si="43"/>
        <v>0</v>
      </c>
      <c r="O474">
        <f t="shared" si="44"/>
        <v>1</v>
      </c>
      <c r="P474" s="3">
        <f t="shared" si="45"/>
        <v>0</v>
      </c>
      <c r="Q474" t="str">
        <f t="shared" si="46"/>
        <v>Correct</v>
      </c>
    </row>
    <row r="475" spans="1:17" x14ac:dyDescent="0.3">
      <c r="A475" t="s">
        <v>498</v>
      </c>
      <c r="B475" s="2">
        <v>46247</v>
      </c>
      <c r="C475" s="3">
        <v>2.15</v>
      </c>
      <c r="D475" s="3">
        <v>2.23</v>
      </c>
      <c r="E475" s="3">
        <v>4.28</v>
      </c>
      <c r="F475" s="4">
        <v>1</v>
      </c>
      <c r="G475" s="5">
        <v>41621.46</v>
      </c>
      <c r="H475" t="s">
        <v>13</v>
      </c>
      <c r="I475" t="s">
        <v>26</v>
      </c>
      <c r="J475" t="s">
        <v>21</v>
      </c>
      <c r="K475" t="s">
        <v>22</v>
      </c>
      <c r="L475" s="3">
        <f t="shared" si="47"/>
        <v>8.66</v>
      </c>
      <c r="M475" s="3">
        <f t="shared" si="42"/>
        <v>8.66</v>
      </c>
      <c r="N475" t="b">
        <f t="shared" si="43"/>
        <v>0</v>
      </c>
      <c r="O475">
        <f t="shared" si="44"/>
        <v>0</v>
      </c>
      <c r="P475" s="3">
        <f t="shared" si="45"/>
        <v>0</v>
      </c>
      <c r="Q475" t="str">
        <f t="shared" si="46"/>
        <v>Correct</v>
      </c>
    </row>
    <row r="476" spans="1:17" x14ac:dyDescent="0.3">
      <c r="A476" t="s">
        <v>499</v>
      </c>
      <c r="B476" s="2">
        <v>46241</v>
      </c>
      <c r="C476" s="3">
        <v>0.99</v>
      </c>
      <c r="D476" s="3">
        <v>5.55</v>
      </c>
      <c r="E476" s="3">
        <v>3</v>
      </c>
      <c r="F476" s="4">
        <v>3</v>
      </c>
      <c r="G476" s="5">
        <v>29911.83</v>
      </c>
      <c r="H476" t="s">
        <v>24</v>
      </c>
      <c r="I476" t="s">
        <v>26</v>
      </c>
      <c r="J476" t="s">
        <v>18</v>
      </c>
      <c r="L476" s="3">
        <f t="shared" si="47"/>
        <v>9.5399999999999991</v>
      </c>
      <c r="M476" s="3">
        <f t="shared" si="42"/>
        <v>9.5399999999999991</v>
      </c>
      <c r="N476" t="b">
        <f t="shared" si="43"/>
        <v>0</v>
      </c>
      <c r="O476">
        <f t="shared" si="44"/>
        <v>1</v>
      </c>
      <c r="P476" s="3">
        <f t="shared" si="45"/>
        <v>0</v>
      </c>
      <c r="Q476" t="str">
        <f t="shared" si="46"/>
        <v>Correct</v>
      </c>
    </row>
    <row r="477" spans="1:17" x14ac:dyDescent="0.3">
      <c r="A477" t="s">
        <v>500</v>
      </c>
      <c r="B477" s="2">
        <v>46260</v>
      </c>
      <c r="C477" s="3">
        <v>0.56000000000000005</v>
      </c>
      <c r="D477" s="3">
        <v>9.7899999999999991</v>
      </c>
      <c r="E477" s="3">
        <v>2.56</v>
      </c>
      <c r="F477" s="4">
        <v>0</v>
      </c>
      <c r="G477" s="5">
        <v>13385.68</v>
      </c>
      <c r="H477" t="s">
        <v>24</v>
      </c>
      <c r="I477" t="s">
        <v>17</v>
      </c>
      <c r="J477" t="s">
        <v>18</v>
      </c>
      <c r="L477" s="3">
        <f t="shared" si="47"/>
        <v>12.91</v>
      </c>
      <c r="M477" s="3">
        <f t="shared" si="42"/>
        <v>12.91</v>
      </c>
      <c r="N477" t="b">
        <f t="shared" si="43"/>
        <v>0</v>
      </c>
      <c r="O477">
        <f t="shared" si="44"/>
        <v>1</v>
      </c>
      <c r="P477" s="3">
        <f t="shared" si="45"/>
        <v>0</v>
      </c>
      <c r="Q477" t="str">
        <f t="shared" si="46"/>
        <v>Correct</v>
      </c>
    </row>
    <row r="478" spans="1:17" x14ac:dyDescent="0.3">
      <c r="A478" t="s">
        <v>501</v>
      </c>
      <c r="B478" s="2">
        <v>46266</v>
      </c>
      <c r="C478" s="3">
        <v>2.72</v>
      </c>
      <c r="D478" s="3">
        <v>3.54</v>
      </c>
      <c r="E478" s="3">
        <v>7.59</v>
      </c>
      <c r="F478" s="4">
        <v>0</v>
      </c>
      <c r="G478" s="5">
        <v>14755.25</v>
      </c>
      <c r="H478" t="s">
        <v>24</v>
      </c>
      <c r="I478" t="s">
        <v>17</v>
      </c>
      <c r="J478" t="s">
        <v>21</v>
      </c>
      <c r="K478" t="s">
        <v>22</v>
      </c>
      <c r="L478" s="3">
        <f t="shared" si="47"/>
        <v>13.85</v>
      </c>
      <c r="M478" s="3">
        <f t="shared" si="42"/>
        <v>13.85</v>
      </c>
      <c r="N478" t="b">
        <f t="shared" si="43"/>
        <v>0</v>
      </c>
      <c r="O478">
        <f t="shared" si="44"/>
        <v>0</v>
      </c>
      <c r="P478" s="3">
        <f t="shared" si="45"/>
        <v>0</v>
      </c>
      <c r="Q478" t="str">
        <f t="shared" si="46"/>
        <v>Correct</v>
      </c>
    </row>
    <row r="479" spans="1:17" x14ac:dyDescent="0.3">
      <c r="A479" t="s">
        <v>502</v>
      </c>
      <c r="B479" s="2">
        <v>46245</v>
      </c>
      <c r="C479" s="3">
        <v>1.72</v>
      </c>
      <c r="D479" s="3">
        <v>2.63</v>
      </c>
      <c r="E479" s="3">
        <v>3.16</v>
      </c>
      <c r="F479" s="4">
        <v>1</v>
      </c>
      <c r="G479" s="5">
        <v>5930.77</v>
      </c>
      <c r="H479" t="s">
        <v>24</v>
      </c>
      <c r="I479" t="s">
        <v>14</v>
      </c>
      <c r="J479" t="s">
        <v>18</v>
      </c>
      <c r="L479" s="3">
        <f t="shared" si="47"/>
        <v>7.51</v>
      </c>
      <c r="M479" s="3">
        <f t="shared" si="42"/>
        <v>7.51</v>
      </c>
      <c r="N479" t="b">
        <f t="shared" si="43"/>
        <v>0</v>
      </c>
      <c r="O479">
        <f t="shared" si="44"/>
        <v>1</v>
      </c>
      <c r="P479" s="3">
        <f t="shared" si="45"/>
        <v>0</v>
      </c>
      <c r="Q479" t="str">
        <f t="shared" si="46"/>
        <v>Correct</v>
      </c>
    </row>
    <row r="480" spans="1:17" x14ac:dyDescent="0.3">
      <c r="A480" t="s">
        <v>503</v>
      </c>
      <c r="B480" s="2">
        <v>46239</v>
      </c>
      <c r="C480" s="3">
        <v>0.27</v>
      </c>
      <c r="D480" s="3">
        <v>4.97</v>
      </c>
      <c r="E480" s="3">
        <v>0.36</v>
      </c>
      <c r="F480" s="4">
        <v>0</v>
      </c>
      <c r="G480" s="5">
        <v>5712.83</v>
      </c>
      <c r="H480" t="s">
        <v>24</v>
      </c>
      <c r="I480" t="s">
        <v>14</v>
      </c>
      <c r="J480" t="s">
        <v>18</v>
      </c>
      <c r="L480" s="3">
        <f t="shared" si="47"/>
        <v>5.6000000000000005</v>
      </c>
      <c r="M480" s="3">
        <f t="shared" si="42"/>
        <v>5.6000000000000005</v>
      </c>
      <c r="N480" t="b">
        <f t="shared" si="43"/>
        <v>0</v>
      </c>
      <c r="O480">
        <f t="shared" si="44"/>
        <v>1</v>
      </c>
      <c r="P480" s="3">
        <f t="shared" si="45"/>
        <v>0</v>
      </c>
      <c r="Q480" t="str">
        <f t="shared" si="46"/>
        <v>Correct</v>
      </c>
    </row>
    <row r="481" spans="1:17" x14ac:dyDescent="0.3">
      <c r="A481" t="s">
        <v>504</v>
      </c>
      <c r="B481" s="2">
        <v>46243</v>
      </c>
      <c r="C481" s="3">
        <v>1.91</v>
      </c>
      <c r="D481" s="3">
        <v>3.42</v>
      </c>
      <c r="E481" s="3">
        <v>7.93</v>
      </c>
      <c r="F481" s="4">
        <v>2</v>
      </c>
      <c r="G481" s="5">
        <v>10099.52</v>
      </c>
      <c r="H481" t="s">
        <v>24</v>
      </c>
      <c r="I481" t="s">
        <v>17</v>
      </c>
      <c r="J481" t="s">
        <v>18</v>
      </c>
      <c r="L481" s="3">
        <f t="shared" si="47"/>
        <v>13.26</v>
      </c>
      <c r="M481" s="3">
        <f t="shared" si="42"/>
        <v>13.26</v>
      </c>
      <c r="N481" t="b">
        <f t="shared" si="43"/>
        <v>0</v>
      </c>
      <c r="O481">
        <f t="shared" si="44"/>
        <v>1</v>
      </c>
      <c r="P481" s="3">
        <f t="shared" si="45"/>
        <v>0</v>
      </c>
      <c r="Q481" t="str">
        <f t="shared" si="46"/>
        <v>Correct</v>
      </c>
    </row>
    <row r="482" spans="1:17" x14ac:dyDescent="0.3">
      <c r="A482" t="s">
        <v>505</v>
      </c>
      <c r="B482" s="2">
        <v>46274</v>
      </c>
      <c r="C482" s="3">
        <v>2.21</v>
      </c>
      <c r="D482" s="3">
        <v>9.25</v>
      </c>
      <c r="E482" s="3">
        <v>6.58</v>
      </c>
      <c r="F482" s="4">
        <v>1</v>
      </c>
      <c r="G482" s="5">
        <v>18270.02</v>
      </c>
      <c r="H482" t="s">
        <v>13</v>
      </c>
      <c r="I482" t="s">
        <v>17</v>
      </c>
      <c r="J482" t="s">
        <v>18</v>
      </c>
      <c r="L482" s="3">
        <f t="shared" si="47"/>
        <v>18.04</v>
      </c>
      <c r="M482" s="3">
        <f t="shared" si="42"/>
        <v>18.04</v>
      </c>
      <c r="N482" t="b">
        <f t="shared" si="43"/>
        <v>0</v>
      </c>
      <c r="O482">
        <f t="shared" si="44"/>
        <v>1</v>
      </c>
      <c r="P482" s="3">
        <f t="shared" si="45"/>
        <v>0</v>
      </c>
      <c r="Q482" t="str">
        <f t="shared" si="46"/>
        <v>Correct</v>
      </c>
    </row>
    <row r="483" spans="1:17" x14ac:dyDescent="0.3">
      <c r="A483" t="s">
        <v>506</v>
      </c>
      <c r="B483" s="2">
        <v>46286</v>
      </c>
      <c r="C483" s="3">
        <v>0.38</v>
      </c>
      <c r="D483" s="3">
        <v>20.67</v>
      </c>
      <c r="E483" s="3">
        <v>4.6500000000000004</v>
      </c>
      <c r="F483" s="4">
        <v>1</v>
      </c>
      <c r="G483" s="5">
        <v>45506.78</v>
      </c>
      <c r="H483" t="s">
        <v>13</v>
      </c>
      <c r="I483" t="s">
        <v>26</v>
      </c>
      <c r="J483" t="s">
        <v>15</v>
      </c>
      <c r="L483" s="3">
        <f t="shared" si="47"/>
        <v>25.700000000000003</v>
      </c>
      <c r="M483" s="3">
        <f t="shared" si="42"/>
        <v>25.700000000000003</v>
      </c>
      <c r="N483" t="b">
        <f t="shared" si="43"/>
        <v>0</v>
      </c>
      <c r="O483">
        <f t="shared" si="44"/>
        <v>1</v>
      </c>
      <c r="P483" s="3">
        <f t="shared" si="45"/>
        <v>0</v>
      </c>
      <c r="Q483" t="str">
        <f t="shared" si="46"/>
        <v>Correct</v>
      </c>
    </row>
    <row r="484" spans="1:17" x14ac:dyDescent="0.3">
      <c r="A484" t="s">
        <v>507</v>
      </c>
      <c r="B484" s="2">
        <v>46245</v>
      </c>
      <c r="C484" s="3">
        <v>2.5099999999999998</v>
      </c>
      <c r="D484" s="3">
        <v>6.92</v>
      </c>
      <c r="E484" s="3">
        <v>11.75</v>
      </c>
      <c r="F484" s="4">
        <v>1</v>
      </c>
      <c r="G484" s="5">
        <v>28108.51</v>
      </c>
      <c r="H484" t="s">
        <v>13</v>
      </c>
      <c r="I484" t="s">
        <v>14</v>
      </c>
      <c r="J484" t="s">
        <v>18</v>
      </c>
      <c r="L484" s="3">
        <f t="shared" si="47"/>
        <v>21.18</v>
      </c>
      <c r="M484" s="3">
        <f t="shared" si="42"/>
        <v>21.18</v>
      </c>
      <c r="N484" t="b">
        <f t="shared" si="43"/>
        <v>0</v>
      </c>
      <c r="O484">
        <f t="shared" si="44"/>
        <v>1</v>
      </c>
      <c r="P484" s="3">
        <f t="shared" si="45"/>
        <v>0</v>
      </c>
      <c r="Q484" t="str">
        <f t="shared" si="46"/>
        <v>Correct</v>
      </c>
    </row>
    <row r="485" spans="1:17" x14ac:dyDescent="0.3">
      <c r="A485" t="s">
        <v>508</v>
      </c>
      <c r="B485" s="2">
        <v>46254</v>
      </c>
      <c r="C485" s="3">
        <v>0.45</v>
      </c>
      <c r="D485" s="3">
        <v>4.88</v>
      </c>
      <c r="E485" s="3">
        <v>9.86</v>
      </c>
      <c r="F485" s="4">
        <v>0</v>
      </c>
      <c r="G485" s="5">
        <v>9974.0300000000007</v>
      </c>
      <c r="H485" t="s">
        <v>24</v>
      </c>
      <c r="I485" t="s">
        <v>17</v>
      </c>
      <c r="J485" t="s">
        <v>18</v>
      </c>
      <c r="L485" s="3">
        <f t="shared" si="47"/>
        <v>15.19</v>
      </c>
      <c r="M485" s="3">
        <f t="shared" si="42"/>
        <v>15.19</v>
      </c>
      <c r="N485" t="b">
        <f t="shared" si="43"/>
        <v>0</v>
      </c>
      <c r="O485">
        <f t="shared" si="44"/>
        <v>1</v>
      </c>
      <c r="P485" s="3">
        <f t="shared" si="45"/>
        <v>0</v>
      </c>
      <c r="Q485" t="str">
        <f t="shared" si="46"/>
        <v>Correct</v>
      </c>
    </row>
    <row r="486" spans="1:17" x14ac:dyDescent="0.3">
      <c r="A486" t="s">
        <v>509</v>
      </c>
      <c r="B486" s="2">
        <v>46255</v>
      </c>
      <c r="C486" s="3">
        <v>0.9</v>
      </c>
      <c r="D486" s="3">
        <v>13.7</v>
      </c>
      <c r="E486" s="3">
        <v>0.44</v>
      </c>
      <c r="F486" s="4">
        <v>0</v>
      </c>
      <c r="G486" s="5">
        <v>8792.6200000000008</v>
      </c>
      <c r="H486" t="s">
        <v>24</v>
      </c>
      <c r="I486" t="s">
        <v>26</v>
      </c>
      <c r="J486" t="s">
        <v>18</v>
      </c>
      <c r="L486" s="3">
        <f t="shared" si="47"/>
        <v>15.04</v>
      </c>
      <c r="M486" s="3">
        <f t="shared" si="42"/>
        <v>15.04</v>
      </c>
      <c r="N486" t="b">
        <f t="shared" si="43"/>
        <v>0</v>
      </c>
      <c r="O486">
        <f t="shared" si="44"/>
        <v>1</v>
      </c>
      <c r="P486" s="3">
        <f t="shared" si="45"/>
        <v>0</v>
      </c>
      <c r="Q486" t="str">
        <f t="shared" si="46"/>
        <v>Correct</v>
      </c>
    </row>
    <row r="487" spans="1:17" x14ac:dyDescent="0.3">
      <c r="A487" t="s">
        <v>510</v>
      </c>
      <c r="B487" s="2">
        <v>46256</v>
      </c>
      <c r="C487" s="3">
        <v>0.45</v>
      </c>
      <c r="D487" s="3">
        <v>15.11</v>
      </c>
      <c r="E487" s="3">
        <v>1.51</v>
      </c>
      <c r="F487" s="4">
        <v>0</v>
      </c>
      <c r="G487" s="5">
        <v>40619.29</v>
      </c>
      <c r="H487" t="s">
        <v>13</v>
      </c>
      <c r="I487" t="s">
        <v>17</v>
      </c>
      <c r="J487" t="s">
        <v>18</v>
      </c>
      <c r="L487" s="3">
        <f t="shared" si="47"/>
        <v>17.07</v>
      </c>
      <c r="M487" s="3">
        <f t="shared" si="42"/>
        <v>17.07</v>
      </c>
      <c r="N487" t="b">
        <f t="shared" si="43"/>
        <v>0</v>
      </c>
      <c r="O487">
        <f t="shared" si="44"/>
        <v>1</v>
      </c>
      <c r="P487" s="3">
        <f t="shared" si="45"/>
        <v>0</v>
      </c>
      <c r="Q487" t="str">
        <f t="shared" si="46"/>
        <v>Correct</v>
      </c>
    </row>
    <row r="488" spans="1:17" x14ac:dyDescent="0.3">
      <c r="A488" t="s">
        <v>511</v>
      </c>
      <c r="B488" s="2">
        <v>46249</v>
      </c>
      <c r="C488" s="3">
        <v>0.81</v>
      </c>
      <c r="D488" s="3">
        <v>2.79</v>
      </c>
      <c r="E488" s="3">
        <v>2.54</v>
      </c>
      <c r="F488" s="4">
        <v>0</v>
      </c>
      <c r="G488" s="5">
        <v>7355.88</v>
      </c>
      <c r="H488" t="s">
        <v>24</v>
      </c>
      <c r="I488" t="s">
        <v>17</v>
      </c>
      <c r="J488" t="s">
        <v>18</v>
      </c>
      <c r="L488" s="3">
        <f t="shared" si="47"/>
        <v>6.1400000000000006</v>
      </c>
      <c r="M488" s="3">
        <f t="shared" si="42"/>
        <v>6.1400000000000006</v>
      </c>
      <c r="N488" t="b">
        <f t="shared" si="43"/>
        <v>0</v>
      </c>
      <c r="O488">
        <f t="shared" si="44"/>
        <v>1</v>
      </c>
      <c r="P488" s="3">
        <f t="shared" si="45"/>
        <v>0</v>
      </c>
      <c r="Q488" t="str">
        <f t="shared" si="46"/>
        <v>Correct</v>
      </c>
    </row>
    <row r="489" spans="1:17" x14ac:dyDescent="0.3">
      <c r="A489" t="s">
        <v>512</v>
      </c>
      <c r="B489" s="2">
        <v>46238</v>
      </c>
      <c r="C489" s="3">
        <v>0.56000000000000005</v>
      </c>
      <c r="D489" s="3">
        <v>1.96</v>
      </c>
      <c r="E489" s="3">
        <v>5</v>
      </c>
      <c r="F489" s="4">
        <v>1</v>
      </c>
      <c r="G489" s="5">
        <v>8979.75</v>
      </c>
      <c r="H489" t="s">
        <v>24</v>
      </c>
      <c r="I489" t="s">
        <v>26</v>
      </c>
      <c r="J489" t="s">
        <v>18</v>
      </c>
      <c r="L489" s="3">
        <f t="shared" si="47"/>
        <v>7.52</v>
      </c>
      <c r="M489" s="3">
        <f t="shared" si="42"/>
        <v>7.52</v>
      </c>
      <c r="N489" t="b">
        <f t="shared" si="43"/>
        <v>0</v>
      </c>
      <c r="O489">
        <f t="shared" si="44"/>
        <v>1</v>
      </c>
      <c r="P489" s="3">
        <f t="shared" si="45"/>
        <v>0</v>
      </c>
      <c r="Q489" t="str">
        <f t="shared" si="46"/>
        <v>Correct</v>
      </c>
    </row>
    <row r="490" spans="1:17" x14ac:dyDescent="0.3">
      <c r="A490" t="s">
        <v>513</v>
      </c>
      <c r="B490" s="2">
        <v>46266</v>
      </c>
      <c r="C490" s="3">
        <v>3.44</v>
      </c>
      <c r="D490" s="3">
        <v>0.85</v>
      </c>
      <c r="E490" s="3">
        <v>3.17</v>
      </c>
      <c r="F490" s="4">
        <v>0</v>
      </c>
      <c r="G490" s="5">
        <v>10403.94</v>
      </c>
      <c r="H490" t="s">
        <v>24</v>
      </c>
      <c r="I490" t="s">
        <v>14</v>
      </c>
      <c r="J490" t="s">
        <v>18</v>
      </c>
      <c r="L490" s="3">
        <f t="shared" si="47"/>
        <v>7.46</v>
      </c>
      <c r="M490" s="3">
        <f t="shared" si="42"/>
        <v>7.46</v>
      </c>
      <c r="N490" t="b">
        <f t="shared" si="43"/>
        <v>0</v>
      </c>
      <c r="O490">
        <f t="shared" si="44"/>
        <v>1</v>
      </c>
      <c r="P490" s="3">
        <f t="shared" si="45"/>
        <v>0</v>
      </c>
      <c r="Q490" t="str">
        <f t="shared" si="46"/>
        <v>Correct</v>
      </c>
    </row>
    <row r="491" spans="1:17" x14ac:dyDescent="0.3">
      <c r="A491" t="s">
        <v>514</v>
      </c>
      <c r="B491" s="2">
        <v>46256</v>
      </c>
      <c r="C491" s="3">
        <v>1.41</v>
      </c>
      <c r="D491" s="3">
        <v>6.62</v>
      </c>
      <c r="E491" s="3">
        <v>5.36</v>
      </c>
      <c r="F491" s="4">
        <v>1</v>
      </c>
      <c r="G491" s="5">
        <v>10107.629999999999</v>
      </c>
      <c r="H491" t="s">
        <v>13</v>
      </c>
      <c r="I491" t="s">
        <v>14</v>
      </c>
      <c r="J491" t="s">
        <v>21</v>
      </c>
      <c r="K491" t="s">
        <v>163</v>
      </c>
      <c r="L491" s="3">
        <f t="shared" si="47"/>
        <v>13.39</v>
      </c>
      <c r="M491" s="3">
        <f t="shared" si="42"/>
        <v>13.39</v>
      </c>
      <c r="N491" t="b">
        <f t="shared" si="43"/>
        <v>0</v>
      </c>
      <c r="O491">
        <f t="shared" si="44"/>
        <v>0</v>
      </c>
      <c r="P491" s="3">
        <f t="shared" si="45"/>
        <v>0</v>
      </c>
      <c r="Q491" t="str">
        <f t="shared" si="46"/>
        <v>Correct</v>
      </c>
    </row>
    <row r="492" spans="1:17" x14ac:dyDescent="0.3">
      <c r="A492" t="s">
        <v>515</v>
      </c>
      <c r="B492" s="2">
        <v>46255</v>
      </c>
      <c r="C492" s="3">
        <v>1.18</v>
      </c>
      <c r="D492" s="3">
        <v>0.53</v>
      </c>
      <c r="E492" s="3">
        <v>1.04</v>
      </c>
      <c r="F492" s="4">
        <v>0</v>
      </c>
      <c r="G492" s="5">
        <v>17934.310000000001</v>
      </c>
      <c r="H492" t="s">
        <v>24</v>
      </c>
      <c r="I492" t="s">
        <v>14</v>
      </c>
      <c r="J492" t="s">
        <v>18</v>
      </c>
      <c r="L492" s="3">
        <f t="shared" si="47"/>
        <v>2.75</v>
      </c>
      <c r="M492" s="3">
        <f t="shared" si="42"/>
        <v>2.75</v>
      </c>
      <c r="N492" t="b">
        <f t="shared" si="43"/>
        <v>0</v>
      </c>
      <c r="O492">
        <f t="shared" si="44"/>
        <v>1</v>
      </c>
      <c r="P492" s="3">
        <f t="shared" si="45"/>
        <v>0</v>
      </c>
      <c r="Q492" t="str">
        <f t="shared" si="46"/>
        <v>Correct</v>
      </c>
    </row>
    <row r="493" spans="1:17" x14ac:dyDescent="0.3">
      <c r="A493" t="s">
        <v>516</v>
      </c>
      <c r="B493" s="2">
        <v>46250</v>
      </c>
      <c r="C493" s="3">
        <v>3.67</v>
      </c>
      <c r="D493" s="3">
        <v>18.48</v>
      </c>
      <c r="E493" s="3">
        <v>3.87</v>
      </c>
      <c r="F493" s="4">
        <v>0</v>
      </c>
      <c r="G493" s="5">
        <v>103424.7</v>
      </c>
      <c r="H493" t="s">
        <v>13</v>
      </c>
      <c r="I493" t="s">
        <v>14</v>
      </c>
      <c r="J493" t="s">
        <v>18</v>
      </c>
      <c r="L493" s="3">
        <f t="shared" si="47"/>
        <v>26.02</v>
      </c>
      <c r="M493" s="3">
        <f t="shared" si="42"/>
        <v>26.02</v>
      </c>
      <c r="N493" t="b">
        <f t="shared" si="43"/>
        <v>0</v>
      </c>
      <c r="O493">
        <f t="shared" si="44"/>
        <v>1</v>
      </c>
      <c r="P493" s="3">
        <f t="shared" si="45"/>
        <v>0</v>
      </c>
      <c r="Q493" t="str">
        <f t="shared" si="46"/>
        <v>Correct</v>
      </c>
    </row>
    <row r="494" spans="1:17" x14ac:dyDescent="0.3">
      <c r="A494" t="s">
        <v>517</v>
      </c>
      <c r="B494" s="2">
        <v>46290</v>
      </c>
      <c r="C494" s="3">
        <v>3.54</v>
      </c>
      <c r="D494" s="3">
        <v>4.3600000000000003</v>
      </c>
      <c r="E494" s="3">
        <v>6.16</v>
      </c>
      <c r="F494" s="4">
        <v>3</v>
      </c>
      <c r="G494" s="5">
        <v>28299.77</v>
      </c>
      <c r="H494" t="s">
        <v>13</v>
      </c>
      <c r="I494" t="s">
        <v>14</v>
      </c>
      <c r="J494" t="s">
        <v>15</v>
      </c>
      <c r="L494" s="3">
        <f t="shared" si="47"/>
        <v>14.06</v>
      </c>
      <c r="M494" s="3">
        <f t="shared" si="42"/>
        <v>14.06</v>
      </c>
      <c r="N494" t="b">
        <f t="shared" si="43"/>
        <v>0</v>
      </c>
      <c r="O494">
        <f t="shared" si="44"/>
        <v>1</v>
      </c>
      <c r="P494" s="3">
        <f t="shared" si="45"/>
        <v>0</v>
      </c>
      <c r="Q494" t="str">
        <f t="shared" si="46"/>
        <v>Correct</v>
      </c>
    </row>
    <row r="495" spans="1:17" x14ac:dyDescent="0.3">
      <c r="A495" t="s">
        <v>518</v>
      </c>
      <c r="B495" s="2">
        <v>46271</v>
      </c>
      <c r="C495" s="3">
        <v>1.26</v>
      </c>
      <c r="D495" s="3">
        <v>11.65</v>
      </c>
      <c r="E495" s="3">
        <v>5.1100000000000003</v>
      </c>
      <c r="F495" s="4">
        <v>0</v>
      </c>
      <c r="G495" s="5">
        <v>12590.66</v>
      </c>
      <c r="H495" t="s">
        <v>24</v>
      </c>
      <c r="I495" t="s">
        <v>17</v>
      </c>
      <c r="J495" t="s">
        <v>18</v>
      </c>
      <c r="L495" s="3">
        <f t="shared" si="47"/>
        <v>18.02</v>
      </c>
      <c r="M495" s="3">
        <f t="shared" si="42"/>
        <v>18.02</v>
      </c>
      <c r="N495" t="b">
        <f t="shared" si="43"/>
        <v>0</v>
      </c>
      <c r="O495">
        <f t="shared" si="44"/>
        <v>1</v>
      </c>
      <c r="P495" s="3">
        <f t="shared" si="45"/>
        <v>0</v>
      </c>
      <c r="Q495" t="str">
        <f t="shared" si="46"/>
        <v>Correct</v>
      </c>
    </row>
    <row r="496" spans="1:17" x14ac:dyDescent="0.3">
      <c r="A496" t="s">
        <v>519</v>
      </c>
      <c r="B496" s="2">
        <v>46260</v>
      </c>
      <c r="C496" s="3">
        <v>2.12</v>
      </c>
      <c r="D496" s="3">
        <v>4.07</v>
      </c>
      <c r="E496" s="3">
        <v>0.9</v>
      </c>
      <c r="F496" s="4">
        <v>0</v>
      </c>
      <c r="G496" s="5">
        <v>63812.66</v>
      </c>
      <c r="H496" t="s">
        <v>13</v>
      </c>
      <c r="I496" t="s">
        <v>20</v>
      </c>
      <c r="J496" t="s">
        <v>18</v>
      </c>
      <c r="L496" s="3">
        <f t="shared" si="47"/>
        <v>7.0900000000000007</v>
      </c>
      <c r="M496" s="3">
        <f t="shared" si="42"/>
        <v>7.0900000000000007</v>
      </c>
      <c r="N496" t="b">
        <f t="shared" si="43"/>
        <v>0</v>
      </c>
      <c r="O496">
        <f t="shared" si="44"/>
        <v>1</v>
      </c>
      <c r="P496" s="3">
        <f t="shared" si="45"/>
        <v>0</v>
      </c>
      <c r="Q496" t="str">
        <f t="shared" si="46"/>
        <v>Correct</v>
      </c>
    </row>
    <row r="497" spans="1:17" x14ac:dyDescent="0.3">
      <c r="A497" t="s">
        <v>520</v>
      </c>
      <c r="B497" s="2">
        <v>46247</v>
      </c>
      <c r="C497" s="3">
        <v>1.05</v>
      </c>
      <c r="D497" s="3">
        <v>8</v>
      </c>
      <c r="E497" s="3">
        <v>2.2400000000000002</v>
      </c>
      <c r="F497" s="4">
        <v>0</v>
      </c>
      <c r="G497" s="5">
        <v>7794.63</v>
      </c>
      <c r="H497" t="s">
        <v>24</v>
      </c>
      <c r="I497" t="s">
        <v>17</v>
      </c>
      <c r="J497" t="s">
        <v>15</v>
      </c>
      <c r="L497" s="3">
        <f t="shared" si="47"/>
        <v>11.290000000000001</v>
      </c>
      <c r="M497" s="3">
        <f t="shared" si="42"/>
        <v>11.290000000000001</v>
      </c>
      <c r="N497" t="b">
        <f t="shared" si="43"/>
        <v>0</v>
      </c>
      <c r="O497">
        <f t="shared" si="44"/>
        <v>1</v>
      </c>
      <c r="P497" s="3">
        <f t="shared" si="45"/>
        <v>0</v>
      </c>
      <c r="Q497" t="str">
        <f t="shared" si="46"/>
        <v>Correct</v>
      </c>
    </row>
    <row r="498" spans="1:17" x14ac:dyDescent="0.3">
      <c r="A498" t="s">
        <v>521</v>
      </c>
      <c r="B498" s="2">
        <v>46283</v>
      </c>
      <c r="C498" s="3">
        <v>1.59</v>
      </c>
      <c r="D498" s="3">
        <v>5.86</v>
      </c>
      <c r="E498" s="3">
        <v>1.8</v>
      </c>
      <c r="F498" s="4">
        <v>0</v>
      </c>
      <c r="G498" s="5">
        <v>15286.36</v>
      </c>
      <c r="H498" t="s">
        <v>24</v>
      </c>
      <c r="I498" t="s">
        <v>17</v>
      </c>
      <c r="J498" t="s">
        <v>18</v>
      </c>
      <c r="L498" s="3">
        <f t="shared" si="47"/>
        <v>9.25</v>
      </c>
      <c r="M498" s="3">
        <f t="shared" si="42"/>
        <v>9.25</v>
      </c>
      <c r="N498" t="b">
        <f t="shared" si="43"/>
        <v>0</v>
      </c>
      <c r="O498">
        <f t="shared" si="44"/>
        <v>1</v>
      </c>
      <c r="P498" s="3">
        <f t="shared" si="45"/>
        <v>0</v>
      </c>
      <c r="Q498" t="str">
        <f t="shared" si="46"/>
        <v>Correct</v>
      </c>
    </row>
    <row r="499" spans="1:17" x14ac:dyDescent="0.3">
      <c r="A499" t="s">
        <v>522</v>
      </c>
      <c r="B499" s="2">
        <v>46288</v>
      </c>
      <c r="C499" s="3">
        <v>0.66</v>
      </c>
      <c r="D499" s="3">
        <v>4.07</v>
      </c>
      <c r="E499" s="3">
        <v>2.14</v>
      </c>
      <c r="F499" s="4">
        <v>1</v>
      </c>
      <c r="G499" s="5">
        <v>16962.7</v>
      </c>
      <c r="H499" t="s">
        <v>24</v>
      </c>
      <c r="I499" t="s">
        <v>14</v>
      </c>
      <c r="J499" t="s">
        <v>18</v>
      </c>
      <c r="L499" s="3">
        <f t="shared" si="47"/>
        <v>6.870000000000001</v>
      </c>
      <c r="M499" s="3">
        <f t="shared" si="42"/>
        <v>6.870000000000001</v>
      </c>
      <c r="N499" t="b">
        <f t="shared" si="43"/>
        <v>0</v>
      </c>
      <c r="O499">
        <f t="shared" si="44"/>
        <v>1</v>
      </c>
      <c r="P499" s="3">
        <f t="shared" si="45"/>
        <v>0</v>
      </c>
      <c r="Q499" t="str">
        <f t="shared" si="46"/>
        <v>Correct</v>
      </c>
    </row>
    <row r="500" spans="1:17" x14ac:dyDescent="0.3">
      <c r="A500" t="s">
        <v>523</v>
      </c>
      <c r="B500" s="2">
        <v>46236</v>
      </c>
      <c r="C500" s="3">
        <v>2.34</v>
      </c>
      <c r="D500" s="3">
        <v>18.97</v>
      </c>
      <c r="E500" s="3">
        <v>2.21</v>
      </c>
      <c r="F500" s="4">
        <v>0</v>
      </c>
      <c r="G500" s="5">
        <v>51665.47</v>
      </c>
      <c r="H500" t="s">
        <v>13</v>
      </c>
      <c r="I500" t="s">
        <v>17</v>
      </c>
      <c r="J500" t="s">
        <v>18</v>
      </c>
      <c r="L500" s="3">
        <f t="shared" si="47"/>
        <v>23.52</v>
      </c>
      <c r="M500" s="3">
        <f t="shared" si="42"/>
        <v>23.52</v>
      </c>
      <c r="N500" t="b">
        <f t="shared" si="43"/>
        <v>0</v>
      </c>
      <c r="O500">
        <f t="shared" si="44"/>
        <v>1</v>
      </c>
      <c r="P500" s="3">
        <f t="shared" si="45"/>
        <v>0</v>
      </c>
      <c r="Q500" t="str">
        <f t="shared" si="46"/>
        <v>Correct</v>
      </c>
    </row>
    <row r="501" spans="1:17" x14ac:dyDescent="0.3">
      <c r="A501" t="s">
        <v>524</v>
      </c>
      <c r="B501" s="2">
        <v>46290</v>
      </c>
      <c r="C501" s="3">
        <v>3.76</v>
      </c>
      <c r="D501" s="3">
        <v>18.5</v>
      </c>
      <c r="E501" s="3">
        <v>1.0900000000000001</v>
      </c>
      <c r="F501" s="4">
        <v>0</v>
      </c>
      <c r="G501" s="5">
        <v>26319.79</v>
      </c>
      <c r="H501" t="s">
        <v>24</v>
      </c>
      <c r="I501" t="s">
        <v>17</v>
      </c>
      <c r="J501" t="s">
        <v>15</v>
      </c>
      <c r="L501" s="3">
        <f t="shared" si="47"/>
        <v>23.349999999999998</v>
      </c>
      <c r="M501" s="3">
        <f t="shared" si="42"/>
        <v>23.349999999999998</v>
      </c>
      <c r="N501" t="b">
        <f t="shared" si="43"/>
        <v>0</v>
      </c>
      <c r="O501">
        <f t="shared" si="44"/>
        <v>1</v>
      </c>
      <c r="P501" s="3">
        <f t="shared" si="45"/>
        <v>0</v>
      </c>
      <c r="Q501" t="str">
        <f t="shared" si="46"/>
        <v>Correct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110" customWidth="1"/>
  </cols>
  <sheetData>
    <row r="1" spans="1:2" ht="30" customHeight="1" x14ac:dyDescent="0.3">
      <c r="A1" s="9" t="s">
        <v>525</v>
      </c>
      <c r="B1" s="10"/>
    </row>
    <row r="2" spans="1:2" x14ac:dyDescent="0.3">
      <c r="A2" s="6" t="s">
        <v>526</v>
      </c>
      <c r="B2" s="7" t="s">
        <v>527</v>
      </c>
    </row>
    <row r="3" spans="1:2" x14ac:dyDescent="0.3">
      <c r="A3" s="6" t="s">
        <v>528</v>
      </c>
      <c r="B3" s="7" t="s">
        <v>529</v>
      </c>
    </row>
    <row r="4" spans="1:2" x14ac:dyDescent="0.3">
      <c r="A4" s="6" t="s">
        <v>530</v>
      </c>
      <c r="B4" s="7" t="s">
        <v>531</v>
      </c>
    </row>
    <row r="5" spans="1:2" x14ac:dyDescent="0.3">
      <c r="A5" s="6" t="s">
        <v>532</v>
      </c>
      <c r="B5" s="7" t="s">
        <v>533</v>
      </c>
    </row>
    <row r="6" spans="1:2" x14ac:dyDescent="0.3">
      <c r="A6" s="6" t="s">
        <v>534</v>
      </c>
      <c r="B6" s="7" t="s">
        <v>535</v>
      </c>
    </row>
    <row r="7" spans="1:2" x14ac:dyDescent="0.3">
      <c r="A7" s="6" t="s">
        <v>0</v>
      </c>
      <c r="B7" s="7" t="s">
        <v>536</v>
      </c>
    </row>
    <row r="8" spans="1:2" x14ac:dyDescent="0.3">
      <c r="A8" s="6" t="s">
        <v>1</v>
      </c>
      <c r="B8" s="7" t="s">
        <v>537</v>
      </c>
    </row>
    <row r="9" spans="1:2" x14ac:dyDescent="0.3">
      <c r="A9" s="6" t="s">
        <v>2</v>
      </c>
      <c r="B9" s="7" t="s">
        <v>538</v>
      </c>
    </row>
    <row r="10" spans="1:2" x14ac:dyDescent="0.3">
      <c r="A10" s="6" t="s">
        <v>3</v>
      </c>
      <c r="B10" s="7" t="s">
        <v>539</v>
      </c>
    </row>
    <row r="11" spans="1:2" x14ac:dyDescent="0.3">
      <c r="A11" s="6" t="s">
        <v>4</v>
      </c>
      <c r="B11" s="7" t="s">
        <v>540</v>
      </c>
    </row>
    <row r="12" spans="1:2" x14ac:dyDescent="0.3">
      <c r="A12" s="6" t="s">
        <v>5</v>
      </c>
      <c r="B12" s="7" t="s">
        <v>541</v>
      </c>
    </row>
    <row r="13" spans="1:2" x14ac:dyDescent="0.3">
      <c r="A13" s="6" t="s">
        <v>6</v>
      </c>
      <c r="B13" s="7" t="s">
        <v>542</v>
      </c>
    </row>
    <row r="14" spans="1:2" x14ac:dyDescent="0.3">
      <c r="A14" s="6" t="s">
        <v>7</v>
      </c>
      <c r="B14" s="7" t="s">
        <v>543</v>
      </c>
    </row>
    <row r="15" spans="1:2" x14ac:dyDescent="0.3">
      <c r="A15" s="6" t="s">
        <v>8</v>
      </c>
      <c r="B15" s="7" t="s">
        <v>544</v>
      </c>
    </row>
    <row r="16" spans="1:2" x14ac:dyDescent="0.3">
      <c r="A16" s="6" t="s">
        <v>9</v>
      </c>
      <c r="B16" s="7" t="s">
        <v>545</v>
      </c>
    </row>
    <row r="17" spans="1:2" x14ac:dyDescent="0.3">
      <c r="A17" s="6" t="s">
        <v>10</v>
      </c>
      <c r="B17" s="7" t="s">
        <v>546</v>
      </c>
    </row>
    <row r="18" spans="1:2" x14ac:dyDescent="0.3">
      <c r="A18" s="6" t="s">
        <v>11</v>
      </c>
      <c r="B18" s="7" t="s">
        <v>547</v>
      </c>
    </row>
    <row r="19" spans="1:2" x14ac:dyDescent="0.3">
      <c r="A19" s="6" t="s">
        <v>548</v>
      </c>
      <c r="B19" s="7" t="s">
        <v>549</v>
      </c>
    </row>
    <row r="20" spans="1:2" x14ac:dyDescent="0.3">
      <c r="A20" s="6" t="s">
        <v>550</v>
      </c>
      <c r="B20" s="7" t="s">
        <v>551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28" customWidth="1"/>
    <col min="2" max="2" width="66" customWidth="1"/>
    <col min="3" max="3" width="26" customWidth="1"/>
  </cols>
  <sheetData>
    <row r="1" spans="1:3" x14ac:dyDescent="0.3">
      <c r="A1" s="8" t="s">
        <v>552</v>
      </c>
      <c r="B1" s="8" t="s">
        <v>553</v>
      </c>
      <c r="C1" s="8" t="s">
        <v>554</v>
      </c>
    </row>
    <row r="2" spans="1:3" x14ac:dyDescent="0.3">
      <c r="A2" s="7" t="s">
        <v>555</v>
      </c>
      <c r="B2" s="7">
        <f ca="1">COUNTA(A2:A501)-COUNTA(_xludf.UNIQUE(A2:A501))</f>
        <v>6</v>
      </c>
      <c r="C2" s="7" t="s">
        <v>556</v>
      </c>
    </row>
    <row r="3" spans="1:3" x14ac:dyDescent="0.3">
      <c r="A3" s="7" t="s">
        <v>557</v>
      </c>
      <c r="B3" s="7">
        <f>COUNTBLANK(A2:A501)</f>
        <v>493</v>
      </c>
      <c r="C3" s="7" t="s">
        <v>558</v>
      </c>
    </row>
    <row r="4" spans="1:3" x14ac:dyDescent="0.3">
      <c r="A4" s="7" t="s">
        <v>559</v>
      </c>
      <c r="B4" s="7" t="s">
        <v>560</v>
      </c>
      <c r="C4" s="7" t="s">
        <v>561</v>
      </c>
    </row>
    <row r="5" spans="1:3" x14ac:dyDescent="0.3">
      <c r="A5" s="7" t="s">
        <v>562</v>
      </c>
      <c r="B5" s="7" t="s">
        <v>563</v>
      </c>
      <c r="C5" s="7" t="s">
        <v>564</v>
      </c>
    </row>
    <row r="6" spans="1:3" x14ac:dyDescent="0.3">
      <c r="A6" s="7" t="s">
        <v>565</v>
      </c>
      <c r="B6" s="7" t="s">
        <v>566</v>
      </c>
      <c r="C6" s="7" t="s">
        <v>561</v>
      </c>
    </row>
    <row r="7" spans="1:3" x14ac:dyDescent="0.3">
      <c r="A7" s="7" t="s">
        <v>567</v>
      </c>
      <c r="B7" s="7" t="s">
        <v>568</v>
      </c>
      <c r="C7" s="7" t="s">
        <v>561</v>
      </c>
    </row>
    <row r="8" spans="1:3" x14ac:dyDescent="0.3">
      <c r="A8" s="7" t="s">
        <v>569</v>
      </c>
      <c r="B8" s="7">
        <f>COUNTIFS(J2:J501,"Denied",K2:K501,"")</f>
        <v>0</v>
      </c>
      <c r="C8" s="7" t="s">
        <v>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zoomScale="96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42" customWidth="1"/>
    <col min="2" max="2" width="97" bestFit="1" customWidth="1"/>
    <col min="3" max="3" width="116.33203125" bestFit="1" customWidth="1"/>
    <col min="4" max="4" width="59" bestFit="1" customWidth="1"/>
    <col min="5" max="5" width="78" bestFit="1" customWidth="1"/>
  </cols>
  <sheetData>
    <row r="1" spans="1:5" ht="31.95" customHeight="1" x14ac:dyDescent="0.3">
      <c r="A1" s="11" t="s">
        <v>571</v>
      </c>
      <c r="B1" s="11" t="s">
        <v>572</v>
      </c>
      <c r="C1" s="11" t="s">
        <v>573</v>
      </c>
      <c r="D1" s="11" t="s">
        <v>574</v>
      </c>
      <c r="E1" s="11" t="s">
        <v>575</v>
      </c>
    </row>
    <row r="2" spans="1:5" ht="48" customHeight="1" x14ac:dyDescent="0.3">
      <c r="A2" s="7" t="s">
        <v>576</v>
      </c>
      <c r="B2" t="s">
        <v>586</v>
      </c>
      <c r="C2" t="s">
        <v>587</v>
      </c>
      <c r="D2" s="7" t="s">
        <v>588</v>
      </c>
      <c r="E2" t="s">
        <v>589</v>
      </c>
    </row>
    <row r="3" spans="1:5" ht="48" customHeight="1" x14ac:dyDescent="0.3">
      <c r="A3" s="7" t="s">
        <v>577</v>
      </c>
      <c r="B3" t="s">
        <v>590</v>
      </c>
      <c r="C3" t="s">
        <v>591</v>
      </c>
      <c r="D3" t="s">
        <v>592</v>
      </c>
      <c r="E3" t="s">
        <v>593</v>
      </c>
    </row>
    <row r="4" spans="1:5" ht="48" customHeight="1" x14ac:dyDescent="0.3">
      <c r="A4" s="7" t="s">
        <v>578</v>
      </c>
      <c r="B4" t="s">
        <v>594</v>
      </c>
      <c r="C4" t="s">
        <v>595</v>
      </c>
      <c r="D4" t="s">
        <v>596</v>
      </c>
      <c r="E4" t="s">
        <v>597</v>
      </c>
    </row>
    <row r="5" spans="1:5" ht="48" customHeight="1" x14ac:dyDescent="0.3">
      <c r="A5" s="7" t="s">
        <v>579</v>
      </c>
      <c r="B5" t="s">
        <v>598</v>
      </c>
      <c r="C5" t="s">
        <v>599</v>
      </c>
      <c r="D5" t="s">
        <v>600</v>
      </c>
      <c r="E5" t="s">
        <v>601</v>
      </c>
    </row>
    <row r="6" spans="1:5" ht="48" customHeight="1" x14ac:dyDescent="0.3">
      <c r="A6" s="7" t="s">
        <v>580</v>
      </c>
      <c r="B6" t="s">
        <v>602</v>
      </c>
      <c r="C6" t="s">
        <v>603</v>
      </c>
      <c r="D6" t="s">
        <v>604</v>
      </c>
      <c r="E6" t="s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Claims_Data</vt:lpstr>
      <vt:lpstr>Read_Me</vt:lpstr>
      <vt:lpstr>Validation_Checks</vt:lpstr>
      <vt:lpstr>Findings_Template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revanthreddy bommala</cp:lastModifiedBy>
  <dcterms:created xsi:type="dcterms:W3CDTF">2026-10-24T16:11:14Z</dcterms:created>
  <dcterms:modified xsi:type="dcterms:W3CDTF">2026-10-24T18:24:32Z</dcterms:modified>
</cp:coreProperties>
</file>